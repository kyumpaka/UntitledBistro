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0" yWindow="0" windowWidth="25125" windowHeight="1371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externalReferences>
    <externalReference r:id="rId8"/>
  </externalReferences>
  <definedNames>
    <definedName name="_xlnm._FilterDatabase" localSheetId="3" hidden="1">Schedule!$M$3:$AB$54</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24519" calcMode="manual"/>
</workbook>
</file>

<file path=xl/calcChain.xml><?xml version="1.0" encoding="utf-8"?>
<calcChain xmlns="http://schemas.openxmlformats.org/spreadsheetml/2006/main">
  <c r="AH5" i="2"/>
  <c r="AC6"/>
  <c r="AC7"/>
  <c r="AC8"/>
  <c r="AC9"/>
  <c r="AH10"/>
  <c r="AD11"/>
  <c r="AE12"/>
  <c r="AF13"/>
  <c r="AE14"/>
  <c r="AG15"/>
  <c r="AH16"/>
  <c r="AH17"/>
  <c r="AG18"/>
  <c r="AH19"/>
  <c r="AH20"/>
  <c r="AH21"/>
  <c r="AF22"/>
  <c r="AC23"/>
  <c r="AC24"/>
  <c r="AC25"/>
  <c r="AC26"/>
  <c r="AC27"/>
  <c r="AD28"/>
  <c r="AC29"/>
  <c r="AD30"/>
  <c r="AD31"/>
  <c r="AD32"/>
  <c r="AD33"/>
  <c r="AF34"/>
  <c r="AF35"/>
  <c r="AF36"/>
  <c r="AF37"/>
  <c r="AF38"/>
  <c r="AF39"/>
  <c r="AF40"/>
  <c r="AF41"/>
  <c r="AF42"/>
  <c r="AF43"/>
  <c r="AH44"/>
  <c r="AH45"/>
  <c r="AH46"/>
  <c r="AH47"/>
  <c r="AH48"/>
  <c r="AH49"/>
  <c r="AH50"/>
  <c r="AH51"/>
  <c r="AH52"/>
  <c r="AH53"/>
  <c r="AH54"/>
  <c r="D13" i="4"/>
  <c r="E8"/>
  <c r="F8" s="1"/>
  <c r="E7"/>
  <c r="F7" s="1"/>
  <c r="H153" i="8"/>
  <c r="AB1" i="2"/>
  <c r="D1"/>
  <c r="E9" i="4" l="1"/>
  <c r="C5" i="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F9" i="4" l="1"/>
  <c r="E10"/>
  <c r="B24" i="3"/>
  <c r="AB2" i="2"/>
  <c r="E11" i="4" l="1"/>
  <c r="F10"/>
  <c r="E12" l="1"/>
  <c r="F12" s="1"/>
  <c r="F11"/>
</calcChain>
</file>

<file path=xl/sharedStrings.xml><?xml version="1.0" encoding="utf-8"?>
<sst xmlns="http://schemas.openxmlformats.org/spreadsheetml/2006/main" count="1719" uniqueCount="1180">
  <si>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</si>
  <si>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</si>
  <si>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</si>
  <si>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</si>
  <si>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</si>
  <si>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</si>
  <si>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</si>
  <si>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</si>
  <si>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</si>
  <si>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</si>
  <si>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</si>
  <si>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</si>
  <si>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</si>
  <si>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</si>
  <si>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</si>
  <si>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</si>
  <si>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</si>
  <si>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</si>
  <si>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</si>
  <si>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</si>
  <si>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</si>
  <si>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</si>
  <si>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</si>
  <si>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</si>
  <si>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</si>
  <si>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</si>
  <si>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</si>
  <si>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</si>
  <si>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</si>
  <si>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</si>
  <si>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</si>
  <si>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</si>
  <si>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</si>
  <si>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</si>
  <si>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</si>
  <si>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</si>
  <si>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</si>
  <si>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</si>
  <si>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</si>
  <si>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</si>
  <si>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</si>
  <si>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</si>
  <si>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</si>
  <si>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</si>
  <si>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</si>
  <si>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</si>
  <si>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</si>
  <si>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</si>
  <si>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</si>
  <si>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</si>
  <si>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</si>
  <si>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</si>
  <si>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</si>
  <si>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</si>
  <si>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</si>
  <si>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</si>
  <si>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</si>
  <si>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</si>
  <si>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</si>
  <si>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</si>
  <si>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</si>
  <si>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</si>
  <si>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</si>
  <si>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</si>
  <si>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</si>
  <si>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</si>
  <si>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</si>
  <si>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</si>
  <si>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</si>
  <si>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</si>
  <si>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</si>
  <si>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</si>
  <si>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</si>
  <si>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</si>
  <si>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</si>
  <si>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</si>
  <si>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</si>
  <si>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</si>
  <si>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</si>
  <si>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</si>
  <si>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</si>
  <si>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</si>
  <si>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</si>
  <si>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</si>
  <si>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</si>
  <si>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</si>
  <si>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</si>
  <si>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</si>
  <si>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</si>
  <si>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</si>
  <si>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</si>
  <si>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</si>
  <si>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</si>
  <si>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</si>
  <si>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</si>
  <si>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</si>
  <si>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</si>
  <si>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</si>
  <si>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</si>
  <si>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</si>
  <si>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</si>
  <si>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</si>
  <si>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</si>
  <si>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</si>
  <si>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</si>
  <si>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</si>
  <si>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</si>
  <si>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</si>
  <si>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</si>
  <si>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</si>
  <si>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</si>
  <si>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</si>
  <si>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</si>
  <si>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</si>
  <si>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</si>
  <si>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</si>
  <si>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</si>
  <si>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</si>
  <si>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</si>
  <si>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</si>
  <si>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</si>
  <si>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</si>
  <si>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</si>
  <si>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</si>
  <si>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</si>
  <si>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</si>
  <si>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</si>
  <si>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</si>
  <si>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</si>
  <si>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</si>
  <si>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</si>
  <si>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</si>
  <si>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</si>
  <si>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</si>
  <si>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</si>
  <si>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</si>
  <si>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</si>
  <si>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</si>
  <si>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</si>
  <si>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</si>
  <si>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</si>
  <si>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</si>
  <si>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</si>
  <si>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</si>
  <si>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</si>
  <si>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</si>
  <si>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</si>
  <si>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</si>
  <si>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</si>
  <si>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</si>
  <si>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</si>
  <si>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</si>
  <si>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</si>
  <si>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</si>
  <si>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</si>
  <si>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</si>
  <si>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</si>
  <si>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</si>
  <si>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</si>
  <si>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</si>
  <si>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</si>
  <si>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</si>
  <si>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</si>
  <si>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</si>
  <si>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</si>
  <si>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</si>
  <si>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</si>
  <si>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</si>
  <si>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</si>
  <si>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</si>
  <si>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</si>
  <si>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</si>
  <si>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</si>
  <si>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</si>
  <si>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</si>
  <si>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</si>
  <si>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</si>
  <si>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</si>
  <si>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</si>
  <si>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</si>
  <si>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</si>
  <si>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</si>
  <si>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</si>
  <si>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</si>
  <si>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</si>
  <si>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</si>
  <si>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</si>
  <si>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</si>
  <si>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</si>
  <si>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</si>
  <si>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</si>
  <si>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</si>
  <si>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</si>
  <si>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</si>
  <si>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</si>
  <si>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</si>
  <si>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</si>
  <si>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</si>
  <si>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</si>
  <si>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</si>
  <si>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</si>
  <si>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</si>
  <si>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</si>
  <si>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</si>
  <si>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</si>
  <si>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</si>
  <si>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</si>
  <si>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</si>
  <si>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</si>
  <si>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</si>
  <si>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</si>
  <si>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</si>
  <si>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</si>
  <si>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</si>
  <si>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</si>
  <si>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</si>
  <si>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</si>
  <si>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</si>
  <si>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</si>
  <si>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</si>
  <si>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</si>
  <si>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</si>
  <si>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</si>
  <si>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</si>
  <si>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</si>
  <si>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</si>
  <si>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</si>
  <si>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</si>
  <si>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</si>
  <si>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</si>
  <si>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</si>
  <si>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</si>
  <si>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</si>
  <si>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</si>
  <si>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</si>
  <si>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</si>
  <si>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</si>
  <si>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</si>
  <si>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</si>
  <si>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</si>
  <si>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</si>
  <si>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</si>
  <si>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</si>
  <si>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</si>
  <si>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</si>
  <si>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</si>
  <si>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</si>
  <si>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</si>
  <si>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</si>
  <si>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</si>
  <si>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</si>
  <si>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</si>
  <si>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</si>
  <si>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</si>
  <si>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</si>
  <si>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</si>
  <si>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</si>
  <si>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</si>
  <si>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</si>
  <si>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</si>
  <si>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</si>
  <si>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</si>
  <si>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</si>
  <si>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</si>
  <si>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</si>
  <si>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</si>
  <si>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</si>
  <si>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</si>
  <si>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</si>
  <si>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</si>
  <si>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</si>
  <si>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</si>
  <si>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</si>
  <si>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</si>
  <si>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</si>
  <si>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</si>
  <si>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</si>
  <si>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</si>
  <si>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</si>
  <si>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</si>
  <si>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</si>
  <si>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</si>
  <si>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</si>
  <si>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</si>
  <si>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</si>
  <si>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</si>
  <si>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</si>
  <si>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</si>
  <si>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</si>
  <si>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</si>
  <si>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</si>
  <si>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</si>
  <si>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</si>
  <si>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</si>
  <si>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</si>
  <si>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</si>
  <si>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</si>
  <si>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</si>
  <si>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</si>
  <si>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</si>
  <si>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</si>
  <si>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</si>
  <si>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</si>
  <si>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</si>
  <si>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</si>
  <si>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</si>
  <si>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</si>
  <si>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</si>
  <si>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</si>
  <si>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</si>
  <si>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</si>
  <si>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</si>
  <si>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</si>
  <si>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</si>
  <si>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</si>
  <si>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</si>
  <si>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</si>
  <si>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</si>
  <si>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</si>
  <si>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</si>
  <si>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</si>
  <si>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</si>
  <si>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</si>
  <si>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</si>
  <si>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</si>
  <si>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</si>
  <si>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</si>
  <si>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</si>
  <si>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</si>
  <si>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</si>
  <si>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</si>
  <si>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</si>
  <si>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</si>
  <si>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</si>
  <si>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</si>
  <si>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</si>
  <si>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</si>
  <si>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</si>
  <si>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</si>
  <si>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</si>
  <si>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</si>
  <si>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</si>
  <si>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</si>
  <si>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</si>
  <si>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</si>
  <si>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</si>
  <si>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</si>
  <si>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</si>
  <si>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</si>
  <si>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</si>
  <si>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</si>
  <si>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</si>
  <si>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</si>
  <si>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</si>
  <si>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</si>
  <si>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</si>
  <si>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</si>
  <si>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</si>
  <si>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</si>
  <si>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</si>
  <si>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</si>
  <si>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</si>
  <si>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</si>
  <si>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</si>
  <si>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</si>
  <si>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</si>
  <si>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</si>
  <si>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</si>
  <si>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</si>
  <si>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</si>
  <si>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</si>
  <si>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</si>
  <si>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</si>
  <si>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</si>
  <si>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</si>
  <si>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</si>
  <si>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</si>
  <si>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</si>
  <si>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</si>
  <si>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</si>
  <si>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</si>
  <si>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</si>
  <si>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</si>
  <si>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</si>
  <si>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</si>
  <si>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</si>
  <si>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</si>
  <si>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</si>
  <si>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</si>
  <si>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</si>
  <si>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</si>
  <si>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</si>
  <si>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</si>
  <si>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</si>
  <si>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</si>
  <si>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</si>
  <si>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</si>
  <si>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</si>
  <si>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</si>
  <si>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</si>
  <si>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</si>
  <si>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</si>
  <si>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</si>
  <si>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</si>
  <si>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</si>
  <si>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</si>
  <si>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</si>
  <si>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</si>
  <si>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</si>
  <si>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</si>
  <si>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</si>
  <si>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</si>
  <si>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</si>
  <si>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</si>
  <si>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</si>
  <si>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</si>
  <si>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</si>
  <si>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</si>
  <si>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</si>
  <si>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</si>
  <si>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</si>
  <si>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</si>
  <si>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</si>
  <si>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</si>
  <si>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</si>
  <si>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</si>
  <si>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</si>
  <si>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</si>
  <si>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</si>
  <si>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</si>
  <si>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</si>
  <si>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</si>
  <si>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</si>
  <si>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</si>
  <si>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</si>
  <si>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</si>
  <si>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</si>
  <si>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</si>
  <si>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종료계획수립</t>
  </si>
  <si>
    <t>종료보고</t>
  </si>
  <si>
    <t>검수 및 종료</t>
  </si>
  <si>
    <t>요구사항정의</t>
  </si>
  <si>
    <t>프로세스모델링</t>
  </si>
  <si>
    <t>데이터모델링</t>
  </si>
  <si>
    <t>1.1.2.1</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</si>
  <si>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</si>
  <si>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</si>
  <si>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</si>
  <si>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</si>
  <si>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</si>
  <si>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</si>
  <si>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</si>
  <si>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</si>
  <si>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</si>
  <si>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</si>
  <si>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</si>
  <si>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</si>
  <si>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</si>
  <si>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</si>
  <si>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</si>
  <si>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</si>
  <si>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</si>
  <si>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</si>
  <si>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</si>
  <si>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</si>
  <si>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</si>
  <si>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</si>
  <si>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</si>
  <si>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</si>
  <si>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</si>
  <si>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</si>
  <si>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</si>
  <si>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</si>
  <si>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</si>
  <si>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</si>
  <si>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</si>
  <si>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</si>
  <si>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</si>
  <si>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</si>
  <si>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</si>
  <si>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</si>
  <si>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</si>
  <si>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</si>
  <si>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</si>
  <si>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</si>
  <si>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</si>
  <si>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</si>
  <si>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</si>
  <si>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</si>
  <si>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</si>
  <si>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</si>
  <si>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</si>
  <si>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</si>
  <si>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</si>
  <si>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</si>
  <si>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</si>
  <si>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</si>
  <si>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</si>
  <si>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</si>
  <si>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</si>
  <si>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</si>
  <si>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</si>
  <si>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</si>
  <si>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</si>
  <si>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</si>
  <si>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</si>
  <si>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</si>
  <si>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</si>
  <si>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</si>
  <si>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</si>
  <si>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</si>
  <si>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</si>
  <si>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</si>
  <si>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</si>
  <si>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</si>
  <si>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</si>
  <si>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</si>
  <si>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</si>
  <si>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</si>
  <si>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</si>
  <si>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</si>
  <si>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</si>
  <si>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</si>
  <si>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</si>
  <si>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</si>
  <si>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</si>
  <si>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</si>
  <si>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</si>
  <si>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</si>
  <si>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</si>
  <si>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</si>
  <si>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</si>
  <si>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</si>
  <si>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</si>
  <si>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</si>
  <si>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</si>
  <si>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</si>
  <si>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</si>
  <si>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</si>
  <si>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</si>
  <si>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</si>
  <si>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</si>
  <si>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</si>
  <si>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</si>
  <si>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</si>
  <si>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</si>
  <si>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</si>
  <si>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</si>
  <si>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</si>
  <si>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</si>
  <si>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</si>
  <si>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</si>
  <si>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</si>
  <si>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</si>
  <si>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</si>
  <si>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</si>
  <si>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</si>
  <si>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</si>
  <si>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</si>
  <si>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</si>
  <si>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</si>
  <si>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</si>
  <si>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</si>
  <si>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</si>
  <si>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</si>
  <si>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</si>
  <si>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</si>
  <si>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</si>
  <si>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</si>
  <si>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</si>
  <si>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</si>
  <si>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</si>
  <si>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</si>
  <si>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</si>
  <si>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</si>
  <si>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</si>
  <si>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</si>
  <si>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</si>
  <si>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</si>
  <si>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</si>
  <si>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</si>
  <si>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</si>
  <si>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</si>
  <si>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</si>
  <si>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</si>
  <si>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</si>
  <si>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</si>
  <si>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</si>
  <si>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</si>
  <si>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</si>
  <si>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</si>
  <si>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</si>
  <si>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</si>
  <si>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</si>
  <si>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</si>
  <si>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</si>
  <si>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</si>
  <si>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</si>
  <si>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</si>
  <si>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</si>
  <si>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</si>
  <si>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</si>
  <si>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</si>
  <si>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</si>
  <si>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</si>
  <si>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</si>
  <si>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</si>
  <si>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</si>
  <si>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</si>
  <si>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</si>
  <si>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</si>
  <si>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</si>
  <si>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</si>
  <si>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</si>
  <si>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</si>
  <si>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</si>
  <si>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</si>
  <si>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</si>
  <si>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</si>
  <si>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</si>
  <si>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</si>
  <si>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</si>
  <si>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</si>
  <si>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</si>
  <si>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</si>
  <si>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</si>
  <si>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</si>
  <si>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</si>
  <si>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</si>
  <si>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</si>
  <si>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</si>
  <si>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</si>
  <si>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</si>
  <si>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</si>
  <si>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</si>
  <si>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</si>
  <si>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</si>
  <si>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</si>
  <si>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</si>
  <si>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</si>
  <si>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</si>
  <si>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</si>
  <si>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</si>
  <si>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</si>
  <si>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</si>
  <si>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</si>
  <si>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</si>
  <si>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</si>
  <si>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</si>
  <si>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</si>
  <si>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</si>
  <si>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</si>
  <si>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</si>
  <si>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</si>
  <si>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</si>
  <si>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</si>
  <si>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</si>
  <si>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</si>
  <si>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</si>
  <si>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</si>
  <si>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</si>
  <si>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</si>
  <si>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</si>
  <si>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</si>
  <si>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</si>
  <si>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</si>
  <si>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</si>
  <si>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</si>
  <si>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</si>
  <si>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</si>
  <si>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</si>
  <si>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</si>
  <si>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</si>
  <si>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</si>
  <si>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</si>
  <si>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</si>
  <si>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</si>
  <si>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</si>
  <si>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</si>
  <si>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</si>
  <si>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</si>
  <si>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</si>
  <si>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</si>
  <si>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</si>
  <si>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</si>
  <si>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</si>
  <si>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</si>
  <si>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</si>
  <si>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</si>
  <si>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</si>
  <si>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</si>
  <si>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</si>
  <si>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</si>
  <si>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</si>
  <si>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</si>
  <si>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</si>
  <si>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</si>
  <si>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</si>
  <si>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</si>
  <si>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</si>
  <si>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</si>
  <si>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</si>
  <si>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</si>
  <si>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</si>
  <si>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</si>
  <si>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</si>
  <si>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</si>
  <si>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</si>
  <si>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</si>
  <si>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</si>
  <si>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</si>
  <si>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</si>
  <si>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</si>
  <si>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</si>
  <si>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</si>
  <si>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</si>
  <si>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</si>
  <si>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</si>
  <si>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</si>
  <si>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</si>
  <si>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</si>
  <si>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</si>
  <si>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</si>
  <si>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</si>
  <si>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</si>
  <si>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</si>
  <si>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</si>
  <si>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</si>
  <si>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</si>
  <si>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</si>
  <si>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</si>
  <si>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</si>
  <si>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</si>
  <si>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</si>
  <si>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</si>
  <si>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</si>
  <si>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</si>
  <si>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</si>
  <si>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</si>
  <si>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</si>
  <si>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</si>
  <si>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</si>
  <si>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</si>
  <si>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</si>
  <si>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</si>
  <si>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</si>
  <si>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</si>
  <si>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</si>
  <si>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</si>
  <si>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</si>
  <si>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</si>
  <si>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</si>
  <si>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</si>
  <si>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</si>
  <si>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</si>
  <si>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</si>
  <si>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</si>
  <si>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</si>
  <si>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</si>
  <si>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</si>
  <si>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</si>
  <si>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</si>
  <si>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</si>
  <si>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</si>
  <si>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</si>
  <si>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</si>
  <si>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</si>
  <si>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</si>
  <si>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</si>
  <si>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</si>
  <si>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</si>
  <si>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</si>
  <si>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</si>
  <si>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</si>
  <si>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</si>
  <si>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</si>
  <si>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</si>
  <si>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</si>
  <si>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</si>
  <si>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</si>
  <si>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</si>
  <si>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</si>
  <si>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</si>
  <si>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</si>
  <si>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</si>
  <si>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</si>
  <si>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</si>
  <si>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</si>
  <si>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</si>
  <si>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</si>
  <si>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</si>
  <si>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</si>
  <si>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</si>
  <si>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</si>
  <si>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</si>
  <si>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</si>
  <si>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</si>
  <si>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</si>
  <si>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</si>
  <si>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</si>
  <si>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</si>
  <si>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</si>
  <si>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</si>
  <si>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</si>
  <si>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</si>
  <si>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</si>
  <si>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</si>
  <si>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</si>
  <si>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</si>
  <si>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</si>
  <si>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</si>
  <si>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</si>
  <si>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</si>
  <si>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</si>
  <si>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</si>
  <si>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</si>
  <si>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</si>
  <si>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</si>
  <si>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</si>
  <si>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</si>
  <si>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</si>
  <si>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</si>
  <si>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</si>
  <si>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</si>
  <si>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</si>
  <si>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</si>
  <si>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</si>
  <si>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</si>
  <si>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</si>
  <si>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</si>
  <si>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</si>
  <si>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</si>
  <si>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</si>
  <si>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</si>
  <si>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</si>
  <si>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</si>
  <si>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</si>
  <si>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</si>
  <si>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</si>
  <si>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</si>
  <si>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</si>
  <si>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</si>
  <si>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</si>
  <si>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</si>
  <si>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</si>
  <si>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</si>
  <si>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</si>
  <si>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</si>
  <si>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</si>
  <si>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</si>
  <si>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</si>
  <si>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</si>
  <si>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</si>
  <si>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</si>
  <si>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</si>
  <si>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</si>
  <si>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</si>
  <si>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</si>
  <si>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</si>
  <si>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</si>
  <si>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</si>
  <si>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</si>
  <si>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</si>
  <si>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</si>
  <si>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</si>
  <si>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</si>
  <si>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</si>
  <si>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</si>
  <si>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</si>
  <si>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</si>
  <si>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</si>
  <si>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</si>
  <si>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</si>
  <si>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</si>
  <si>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</si>
  <si>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</si>
  <si>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</si>
  <si>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</si>
  <si>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</si>
  <si>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</si>
  <si>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</si>
  <si>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</si>
  <si>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</si>
  <si>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</si>
  <si>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</si>
  <si>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</si>
  <si>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</si>
  <si>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</si>
  <si>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</si>
  <si>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</si>
  <si>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</si>
  <si>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</si>
  <si>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</si>
  <si>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</si>
  <si>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</si>
  <si>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</si>
  <si>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</si>
  <si>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</si>
  <si>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</si>
  <si>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</si>
  <si>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</si>
  <si>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</si>
  <si>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</si>
  <si>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</si>
  <si>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</si>
  <si>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</si>
  <si>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</si>
  <si>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</si>
  <si>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</si>
  <si>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</si>
  <si>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</si>
  <si>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</si>
  <si>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</si>
  <si>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</si>
  <si>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</si>
  <si>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</si>
  <si>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</si>
  <si>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</si>
  <si>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</si>
  <si>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</si>
  <si>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</si>
  <si>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</si>
  <si>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</si>
  <si>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</si>
  <si>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</si>
  <si>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</si>
  <si>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</si>
  <si>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</si>
  <si>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</si>
  <si>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</si>
  <si>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</si>
  <si>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</si>
  <si>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</si>
  <si>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</si>
  <si>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</si>
  <si>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</si>
  <si>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</si>
  <si>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</si>
  <si>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</si>
  <si>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</si>
  <si>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</si>
  <si>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</si>
  <si>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</si>
  <si>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</si>
  <si>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</si>
  <si>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</si>
  <si>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</si>
  <si>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</si>
  <si>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</si>
  <si>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</si>
  <si>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</si>
  <si>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</si>
  <si>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</si>
  <si>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</si>
  <si>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</si>
  <si>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</si>
  <si>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</si>
  <si>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</si>
  <si>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</si>
  <si>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</si>
  <si>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</si>
  <si>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</si>
  <si>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</si>
  <si>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</si>
  <si>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</si>
  <si>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</si>
  <si>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</si>
  <si>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</si>
  <si>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</si>
  <si>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</si>
  <si>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</si>
  <si>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</si>
  <si>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</si>
  <si>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</si>
  <si>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</si>
  <si>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</si>
  <si>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</si>
  <si>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</si>
  <si>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</si>
  <si>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</si>
  <si>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</si>
  <si>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</si>
  <si>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</si>
  <si>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</si>
  <si>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</si>
  <si>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2.1.0</t>
    <phoneticPr fontId="2" type="noConversion"/>
  </si>
  <si>
    <t>프로젝트 수행 및 통제</t>
  </si>
  <si>
    <t>프로젝트 종료</t>
  </si>
  <si>
    <t>2.1.1</t>
  </si>
  <si>
    <t>2.1.2.1</t>
  </si>
  <si>
    <t>2.1.2.2</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</si>
  <si>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</si>
  <si>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</si>
  <si>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</si>
  <si>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</si>
  <si>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논리모델구축</t>
  </si>
  <si>
    <t>설계</t>
  </si>
  <si>
    <t>UI 설계</t>
  </si>
  <si>
    <t>시스템 설계</t>
  </si>
  <si>
    <t>2.2.2.1</t>
  </si>
  <si>
    <t>Architecture설계</t>
  </si>
  <si>
    <t>2.2.2.2</t>
  </si>
  <si>
    <t>데이터베이스설계</t>
  </si>
  <si>
    <t>2.2.2.3</t>
  </si>
  <si>
    <t>프로그램설계</t>
  </si>
  <si>
    <t>개발</t>
  </si>
  <si>
    <t>프로그램 개발</t>
  </si>
  <si>
    <t>2.3.1.1</t>
  </si>
  <si>
    <t>프로그램코딩 및 단위테스트</t>
  </si>
  <si>
    <t>테스트실시</t>
  </si>
  <si>
    <t>2.3.2.1</t>
  </si>
  <si>
    <t>통합테스트실시</t>
  </si>
  <si>
    <t>2.3.2.2</t>
  </si>
  <si>
    <t>시스템테스트실시</t>
  </si>
  <si>
    <t>구현</t>
  </si>
  <si>
    <t>구현준비</t>
  </si>
  <si>
    <t>2.4.1.1</t>
  </si>
  <si>
    <t>Release 및 Contingency plan수립</t>
  </si>
  <si>
    <t>Conversion 및 Release</t>
  </si>
  <si>
    <t>2.4.2.1</t>
  </si>
  <si>
    <t>데이터베이스구축</t>
  </si>
  <si>
    <t>2.4.2.2</t>
  </si>
  <si>
    <t>소프트웨어설치</t>
  </si>
  <si>
    <t>2.4.2.3</t>
  </si>
  <si>
    <t>인수테스트실시</t>
  </si>
  <si>
    <t>2.4.2.4</t>
  </si>
  <si>
    <t>시스템오픈</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</si>
  <si>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</si>
  <si>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</si>
  <si>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</si>
  <si>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</si>
  <si>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</si>
  <si>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</si>
  <si>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</si>
  <si>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</si>
  <si>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</si>
  <si>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</si>
  <si>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</si>
  <si>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</si>
  <si>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</si>
  <si>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</si>
  <si>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</si>
  <si>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</si>
  <si>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</si>
  <si>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</si>
  <si>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</si>
  <si>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</si>
  <si>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</si>
  <si>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</si>
  <si>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</si>
  <si>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</si>
  <si>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</si>
  <si>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2.1.2</t>
  </si>
  <si>
    <t>2.2</t>
  </si>
  <si>
    <t>2.2.2</t>
  </si>
  <si>
    <t>2.3</t>
  </si>
  <si>
    <t>2.3.1</t>
  </si>
  <si>
    <t>2.3.2</t>
  </si>
  <si>
    <t>2.4</t>
  </si>
  <si>
    <t>2.4.1</t>
  </si>
  <si>
    <t>2.4.2</t>
  </si>
  <si>
    <t>Display font color to the gray for the completed tasks</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</si>
  <si>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</si>
  <si>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</si>
  <si>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</si>
  <si>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</si>
  <si>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</si>
  <si>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</si>
  <si>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</si>
  <si>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</si>
  <si>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</si>
  <si>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</si>
  <si>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</si>
  <si>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</si>
  <si>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</si>
  <si>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</si>
  <si>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</si>
  <si>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</si>
  <si>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</si>
  <si>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</si>
  <si>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</si>
  <si>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</si>
  <si>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</si>
  <si>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</si>
  <si>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</si>
  <si>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</si>
  <si>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</si>
  <si>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</si>
  <si>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계획진척율(주별)</t>
  </si>
  <si>
    <t>* 주별로 프로젝트의 계획진적율을 보여줍니다.</t>
  </si>
  <si>
    <t>* "계획진척율" 메뉴를 클릭해야 갱신됨</t>
  </si>
  <si>
    <t>누적_x000D_
Man-Day</t>
  </si>
  <si>
    <t>진척율</t>
  </si>
  <si>
    <t>코드리뷰</t>
  </si>
  <si>
    <t>주기별 보고1</t>
  </si>
  <si>
    <t>주기별 보고3</t>
  </si>
  <si>
    <t>주기별 보고2</t>
  </si>
  <si>
    <t>김세종,정준모,조규민,이태성,배재준,안희수</t>
  </si>
  <si>
    <t>DB 스프레드시트</t>
  </si>
  <si>
    <t>2.3.1.1.1</t>
  </si>
  <si>
    <t>2.3.1.1.1.1</t>
  </si>
  <si>
    <t>2.3.1.1.1.2</t>
  </si>
  <si>
    <t>2.3.1.1.1.3</t>
  </si>
  <si>
    <t>주문 기능</t>
  </si>
  <si>
    <t>인력 기능</t>
  </si>
  <si>
    <t>매출 기능</t>
  </si>
  <si>
    <t>서비스기능</t>
  </si>
  <si>
    <t>정준모</t>
  </si>
  <si>
    <t>김세종</t>
  </si>
  <si>
    <t>조규민</t>
  </si>
  <si>
    <t>배재준</t>
  </si>
  <si>
    <t>이태성</t>
  </si>
  <si>
    <t>안희수</t>
  </si>
  <si>
    <t>ERP프로그램</t>
  </si>
  <si>
    <t>발주 기능</t>
  </si>
  <si>
    <t>재고 기능</t>
  </si>
  <si>
    <t>2.3.1.1.1.4</t>
  </si>
  <si>
    <t>2.3.1.1.1.5</t>
  </si>
  <si>
    <t>2.3.1.1.1.6</t>
  </si>
  <si>
    <t>최종발표</t>
  </si>
  <si>
    <t>김세종,정준모</t>
  </si>
  <si>
    <t>중간발표 1</t>
  </si>
  <si>
    <t>안희수,김세종</t>
  </si>
  <si>
    <t>중간발표 2</t>
  </si>
  <si>
    <t>안희수,이태성</t>
  </si>
  <si>
    <t>1.2.5</t>
  </si>
  <si>
    <t>1.2.6</t>
  </si>
  <si>
    <t>Final 프로젝트</t>
    <phoneticPr fontId="2" type="noConversion"/>
  </si>
  <si>
    <t>TODAY</t>
    <phoneticPr fontId="2" type="noConversion"/>
  </si>
  <si>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</si>
  <si>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</si>
  <si>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</si>
  <si>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</si>
  <si>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</si>
  <si>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</si>
  <si>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</si>
  <si>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</si>
  <si>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</si>
  <si>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</si>
  <si>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</si>
  <si>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</si>
  <si>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</si>
  <si>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</si>
  <si>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</si>
  <si>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</si>
  <si>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</si>
  <si>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</si>
  <si>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E</t>
    <phoneticPr fontId="2" type="noConversion"/>
  </si>
  <si>
    <t>1:English,82:Korean</t>
    <phoneticPr fontId="2" type="noConversion"/>
  </si>
  <si>
    <t>day0927_var1</t>
  </si>
  <si>
    <t>day1023_var1</t>
  </si>
  <si>
    <t>{"TASK_FIRST_COL":"5","START_ROW":"5","WBS_AREA_LAST_COL":"28"}</t>
    <phoneticPr fontId="8" type="noConversion"/>
  </si>
  <si>
    <t>SCHEDULE_SHEET_POSITION:3545121314151617181920212223242526272829</t>
    <phoneticPr fontId="2" type="noConversion"/>
  </si>
  <si>
    <r>
      <t xml:space="preserve">  XLGantt 2.1.0 </t>
    </r>
    <r>
      <rPr>
        <b/>
        <sz val="14"/>
        <color rgb="FFFF8800"/>
        <rFont val="돋움"/>
        <family val="3"/>
        <charset val="129"/>
      </rPr>
      <t>ⓒ</t>
    </r>
    <r>
      <rPr>
        <b/>
        <sz val="14"/>
        <color rgb="FFFF8800"/>
        <rFont val="Calibri"/>
        <family val="2"/>
      </rPr>
      <t>XLWorks</t>
    </r>
    <phoneticPr fontId="8" type="noConversion"/>
  </si>
  <si>
    <t>시작일*</t>
    <phoneticPr fontId="8" type="noConversion"/>
  </si>
  <si>
    <t>총_x000D_
기간</t>
    <phoneticPr fontId="8" type="noConversion"/>
  </si>
  <si>
    <t xml:space="preserve">  주별보기, Zoom 100%</t>
    <phoneticPr fontId="8" type="noConversion"/>
  </si>
  <si>
    <t>reserved</t>
    <phoneticPr fontId="8" type="noConversion"/>
  </si>
  <si>
    <t>task_group</t>
    <phoneticPr fontId="8" type="noConversion"/>
  </si>
  <si>
    <t>wbs_level</t>
    <phoneticPr fontId="8" type="noConversion"/>
  </si>
  <si>
    <t>WBS</t>
    <phoneticPr fontId="8" type="noConversion"/>
  </si>
  <si>
    <t>작업*</t>
    <phoneticPr fontId="8" type="noConversion"/>
  </si>
  <si>
    <t>비고</t>
    <phoneticPr fontId="8" type="noConversion"/>
  </si>
  <si>
    <t>완료일*</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</si>
  <si>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</si>
  <si>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</si>
  <si>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</si>
  <si>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</si>
  <si>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</si>
  <si>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완료일</t>
    <phoneticPr fontId="8" type="noConversion"/>
  </si>
  <si>
    <t>실제_x000D_
총작업량</t>
    <phoneticPr fontId="8" type="noConversion"/>
  </si>
  <si>
    <t>실제_x000D_
총기간</t>
    <phoneticPr fontId="8" type="noConversion"/>
  </si>
  <si>
    <t>가중치</t>
    <phoneticPr fontId="8" type="noConversion"/>
  </si>
  <si>
    <t>담당</t>
    <phoneticPr fontId="8" type="noConversion"/>
  </si>
  <si>
    <t>산출물</t>
    <phoneticPr fontId="8" type="noConversion"/>
  </si>
  <si>
    <t>계획</t>
    <phoneticPr fontId="8" type="noConversion"/>
  </si>
  <si>
    <t>실적*</t>
    <phoneticPr fontId="8" type="noConversion"/>
  </si>
  <si>
    <t>프로젝트 진행율 - 일정변경 관리하지 않을때</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</si>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</sst>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numFmts count="5">
    <numFmt numFmtId="176" formatCode="0_);[Red]\(0\)"/>
    <numFmt numFmtId="177" formatCode="0.0"/>
    <numFmt numFmtId="178" formatCode="mm\/dd"/>
    <numFmt numFmtId="179" formatCode="0.0_);[Red]\(0.0\)"/>
    <numFmt numFmtId="180" formatCode="0.00_);[Red]\(0.00\)"/>
  </numFmts>
  <fonts count="45">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7">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NumberFormat="1" applyFont="1" applyFill="1" applyBorder="1" applyAlignment="1" applyProtection="1">
      <alignment horizontal="left" vertical="top"/>
      <protection locked="0"/>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s>
  <tableStyles count="0" defaultTableStyle="TableStyleMedium2" defaultPivotStyle="PivotStyleLight16"/>
  <colors>
    <mruColors>
      <color rgb="FFE2ECFF"/>
      <color rgb="FFFF3300"/>
      <color rgb="FFFF8800"/>
      <color rgb="FFFF6600"/>
      <color rgb="FFFF9933"/>
      <color rgb="FF3399FF"/>
      <color rgb="FFF2F2FF"/>
      <color rgb="FFF3FFF9"/>
      <color rgb="FFE5FFF2"/>
      <color rgb="FFD9FFEC"/>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ko-KR"/>
  <c:chart>
    <c:title/>
    <c:plotArea>
      <c:layout/>
      <c:lineChart>
        <c:grouping val="standard"/>
        <c:ser>
          <c:idx val="0"/>
          <c:order val="0"/>
          <c:tx>
            <c:strRef>
              <c:f>AnalysisReport!$F$6</c:f>
              <c:strCache>
                <c:ptCount val="1"/>
                <c:pt idx="0">
                  <c:v>진척율</c:v>
                </c:pt>
              </c:strCache>
            </c:strRef>
          </c:tx>
          <c:cat>
            <c:numRef>
              <c:f>AnalysisReport!$C$7:$C$12</c:f>
              <c:numCache>
                <c:formatCode>yyyy/mm/dd</c:formatCode>
                <c:ptCount val="6"/>
                <c:pt idx="0">
                  <c:v>43729</c:v>
                </c:pt>
                <c:pt idx="1">
                  <c:v>43736</c:v>
                </c:pt>
                <c:pt idx="2">
                  <c:v>43743</c:v>
                </c:pt>
                <c:pt idx="3">
                  <c:v>43750</c:v>
                </c:pt>
                <c:pt idx="4">
                  <c:v>43757</c:v>
                </c:pt>
                <c:pt idx="5">
                  <c:v>43764</c:v>
                </c:pt>
              </c:numCache>
            </c:numRef>
          </c:cat>
          <c:val>
            <c:numRef>
              <c:f>AnalysisReport!$F$7:$F$12</c:f>
              <c:numCache>
                <c:formatCode>0.00%</c:formatCode>
                <c:ptCount val="6"/>
                <c:pt idx="0">
                  <c:v>0.11494252873563228</c:v>
                </c:pt>
                <c:pt idx="1">
                  <c:v>0.36206896551724144</c:v>
                </c:pt>
                <c:pt idx="2">
                  <c:v>0.51149425287356332</c:v>
                </c:pt>
                <c:pt idx="3">
                  <c:v>0.65517241379310354</c:v>
                </c:pt>
                <c:pt idx="4">
                  <c:v>0.83908045977011492</c:v>
                </c:pt>
                <c:pt idx="5">
                  <c:v>1</c:v>
                </c:pt>
              </c:numCache>
            </c:numRef>
          </c:val>
        </c:ser>
        <c:marker val="1"/>
        <c:axId val="98614272"/>
        <c:axId val="98624256"/>
      </c:lineChart>
      <c:dateAx>
        <c:axId val="98614272"/>
        <c:scaling>
          <c:orientation val="minMax"/>
        </c:scaling>
        <c:axPos val="b"/>
        <c:numFmt formatCode="yyyy/mm/dd" sourceLinked="1"/>
        <c:tickLblPos val="nextTo"/>
        <c:txPr>
          <a:bodyPr rot="-2700000" vert="horz"/>
          <a:lstStyle/>
          <a:p>
            <a:pPr>
              <a:defRPr/>
            </a:pPr>
            <a:endParaRPr lang="ko-KR"/>
          </a:p>
        </c:txPr>
        <c:crossAx val="98624256"/>
        <c:crosses val="autoZero"/>
        <c:auto val="1"/>
        <c:lblOffset val="100"/>
      </c:dateAx>
      <c:valAx>
        <c:axId val="98624256"/>
        <c:scaling>
          <c:orientation val="minMax"/>
        </c:scaling>
        <c:axPos val="l"/>
        <c:majorGridlines/>
        <c:numFmt formatCode="0.00%" sourceLinked="1"/>
        <c:tickLblPos val="nextTo"/>
        <c:crossAx val="98614272"/>
        <c:crosses val="autoZero"/>
        <c:crossBetween val="between"/>
      </c:valAx>
    </c:plotArea>
    <c:legend>
      <c:legendPos val="r"/>
    </c:legend>
    <c:plotVisOnly val="1"/>
  </c:chart>
  <c:printSettings>
    <c:headerFooter/>
    <c:pageMargins b="0.75000000000000011" l="0.70000000000000007" r="0.70000000000000007" t="0.75000000000000011" header="0.30000000000000004" footer="0.30000000000000004"/>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33</xdr:col>
      <xdr:colOff>81361</xdr:colOff>
      <xdr:row>53</xdr:row>
      <xdr:rowOff>77514</xdr:rowOff>
    </xdr:from>
    <xdr:to>
      <xdr:col>33</xdr:col>
      <xdr:colOff>101772</xdr:colOff>
      <xdr:row>54</xdr:row>
      <xdr:rowOff>40728</xdr:rowOff>
    </xdr:to>
    <xdr:sp macro="" textlink="">
      <xdr:nvSpPr>
        <xdr:cNvPr id="1502" name="직사각형 1501"/>
        <xdr:cNvSpPr/>
      </xdr:nvSpPr>
      <xdr:spPr>
        <a:xfrm>
          <a:off x="9369878" y="8229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81361</xdr:colOff>
      <xdr:row>53</xdr:row>
      <xdr:rowOff>134664</xdr:rowOff>
    </xdr:from>
    <xdr:to>
      <xdr:col>33</xdr:col>
      <xdr:colOff>91567</xdr:colOff>
      <xdr:row>53</xdr:row>
      <xdr:rowOff>134664</xdr:rowOff>
    </xdr:to>
    <xdr:cxnSp macro="">
      <xdr:nvCxnSpPr>
        <xdr:cNvPr id="1503" name="직선 화살표 연결선 1502"/>
        <xdr:cNvCxnSpPr/>
      </xdr:nvCxnSpPr>
      <xdr:spPr>
        <a:xfrm>
          <a:off x="9369878" y="82867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52</xdr:row>
      <xdr:rowOff>76200</xdr:rowOff>
    </xdr:from>
    <xdr:to>
      <xdr:col>33</xdr:col>
      <xdr:colOff>81361</xdr:colOff>
      <xdr:row>53</xdr:row>
      <xdr:rowOff>39414</xdr:rowOff>
    </xdr:to>
    <xdr:sp macro="" textlink="">
      <xdr:nvSpPr>
        <xdr:cNvPr id="1504" name="직사각형 1503"/>
        <xdr:cNvSpPr/>
      </xdr:nvSpPr>
      <xdr:spPr>
        <a:xfrm>
          <a:off x="9349468" y="8077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52</xdr:row>
      <xdr:rowOff>133350</xdr:rowOff>
    </xdr:from>
    <xdr:to>
      <xdr:col>33</xdr:col>
      <xdr:colOff>71156</xdr:colOff>
      <xdr:row>52</xdr:row>
      <xdr:rowOff>133350</xdr:rowOff>
    </xdr:to>
    <xdr:cxnSp macro="">
      <xdr:nvCxnSpPr>
        <xdr:cNvPr id="1505" name="직선 화살표 연결선 1504"/>
        <xdr:cNvCxnSpPr/>
      </xdr:nvCxnSpPr>
      <xdr:spPr>
        <a:xfrm>
          <a:off x="9349468" y="81343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51</xdr:row>
      <xdr:rowOff>74886</xdr:rowOff>
    </xdr:from>
    <xdr:to>
      <xdr:col>33</xdr:col>
      <xdr:colOff>81361</xdr:colOff>
      <xdr:row>52</xdr:row>
      <xdr:rowOff>38100</xdr:rowOff>
    </xdr:to>
    <xdr:sp macro="" textlink="">
      <xdr:nvSpPr>
        <xdr:cNvPr id="1506" name="직사각형 1505"/>
        <xdr:cNvSpPr/>
      </xdr:nvSpPr>
      <xdr:spPr>
        <a:xfrm>
          <a:off x="9349468" y="7924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51</xdr:row>
      <xdr:rowOff>132036</xdr:rowOff>
    </xdr:from>
    <xdr:to>
      <xdr:col>33</xdr:col>
      <xdr:colOff>71156</xdr:colOff>
      <xdr:row>51</xdr:row>
      <xdr:rowOff>132036</xdr:rowOff>
    </xdr:to>
    <xdr:cxnSp macro="">
      <xdr:nvCxnSpPr>
        <xdr:cNvPr id="1507" name="직선 화살표 연결선 1506"/>
        <xdr:cNvCxnSpPr/>
      </xdr:nvCxnSpPr>
      <xdr:spPr>
        <a:xfrm>
          <a:off x="9349468" y="79819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50</xdr:row>
      <xdr:rowOff>73572</xdr:rowOff>
    </xdr:from>
    <xdr:to>
      <xdr:col>33</xdr:col>
      <xdr:colOff>81361</xdr:colOff>
      <xdr:row>51</xdr:row>
      <xdr:rowOff>36786</xdr:rowOff>
    </xdr:to>
    <xdr:sp macro="" textlink="">
      <xdr:nvSpPr>
        <xdr:cNvPr id="1508" name="직사각형 1507"/>
        <xdr:cNvSpPr/>
      </xdr:nvSpPr>
      <xdr:spPr>
        <a:xfrm>
          <a:off x="9349468" y="7772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50</xdr:row>
      <xdr:rowOff>130722</xdr:rowOff>
    </xdr:from>
    <xdr:to>
      <xdr:col>33</xdr:col>
      <xdr:colOff>71156</xdr:colOff>
      <xdr:row>50</xdr:row>
      <xdr:rowOff>130722</xdr:rowOff>
    </xdr:to>
    <xdr:cxnSp macro="">
      <xdr:nvCxnSpPr>
        <xdr:cNvPr id="1509" name="직선 화살표 연결선 1508"/>
        <xdr:cNvCxnSpPr/>
      </xdr:nvCxnSpPr>
      <xdr:spPr>
        <a:xfrm>
          <a:off x="9349468" y="78295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49</xdr:row>
      <xdr:rowOff>72259</xdr:rowOff>
    </xdr:from>
    <xdr:to>
      <xdr:col>33</xdr:col>
      <xdr:colOff>101772</xdr:colOff>
      <xdr:row>50</xdr:row>
      <xdr:rowOff>35472</xdr:rowOff>
    </xdr:to>
    <xdr:sp macro="" textlink="">
      <xdr:nvSpPr>
        <xdr:cNvPr id="1510" name="직사각형 1509"/>
        <xdr:cNvSpPr/>
      </xdr:nvSpPr>
      <xdr:spPr>
        <a:xfrm>
          <a:off x="9349468" y="7620000"/>
          <a:ext cx="408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49</xdr:row>
      <xdr:rowOff>129409</xdr:rowOff>
    </xdr:from>
    <xdr:to>
      <xdr:col>33</xdr:col>
      <xdr:colOff>81362</xdr:colOff>
      <xdr:row>49</xdr:row>
      <xdr:rowOff>129409</xdr:rowOff>
    </xdr:to>
    <xdr:cxnSp macro="">
      <xdr:nvCxnSpPr>
        <xdr:cNvPr id="1511" name="직선 화살표 연결선 1510"/>
        <xdr:cNvCxnSpPr/>
      </xdr:nvCxnSpPr>
      <xdr:spPr>
        <a:xfrm>
          <a:off x="9349468" y="7677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40539</xdr:colOff>
      <xdr:row>48</xdr:row>
      <xdr:rowOff>70945</xdr:rowOff>
    </xdr:from>
    <xdr:to>
      <xdr:col>33</xdr:col>
      <xdr:colOff>60951</xdr:colOff>
      <xdr:row>49</xdr:row>
      <xdr:rowOff>34159</xdr:rowOff>
    </xdr:to>
    <xdr:sp macro="" textlink="">
      <xdr:nvSpPr>
        <xdr:cNvPr id="1512" name="직사각형 1511"/>
        <xdr:cNvSpPr/>
      </xdr:nvSpPr>
      <xdr:spPr>
        <a:xfrm>
          <a:off x="9329056" y="746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40539</xdr:colOff>
      <xdr:row>48</xdr:row>
      <xdr:rowOff>128095</xdr:rowOff>
    </xdr:from>
    <xdr:to>
      <xdr:col>33</xdr:col>
      <xdr:colOff>50745</xdr:colOff>
      <xdr:row>48</xdr:row>
      <xdr:rowOff>128095</xdr:rowOff>
    </xdr:to>
    <xdr:cxnSp macro="">
      <xdr:nvCxnSpPr>
        <xdr:cNvPr id="1513" name="직선 화살표 연결선 1512"/>
        <xdr:cNvCxnSpPr/>
      </xdr:nvCxnSpPr>
      <xdr:spPr>
        <a:xfrm>
          <a:off x="9329056" y="75247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40539</xdr:colOff>
      <xdr:row>47</xdr:row>
      <xdr:rowOff>69631</xdr:rowOff>
    </xdr:from>
    <xdr:to>
      <xdr:col>33</xdr:col>
      <xdr:colOff>60951</xdr:colOff>
      <xdr:row>48</xdr:row>
      <xdr:rowOff>32845</xdr:rowOff>
    </xdr:to>
    <xdr:sp macro="" textlink="">
      <xdr:nvSpPr>
        <xdr:cNvPr id="1514" name="직사각형 1513"/>
        <xdr:cNvSpPr/>
      </xdr:nvSpPr>
      <xdr:spPr>
        <a:xfrm>
          <a:off x="9329056" y="73152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40539</xdr:colOff>
      <xdr:row>47</xdr:row>
      <xdr:rowOff>126781</xdr:rowOff>
    </xdr:from>
    <xdr:to>
      <xdr:col>33</xdr:col>
      <xdr:colOff>50745</xdr:colOff>
      <xdr:row>47</xdr:row>
      <xdr:rowOff>126781</xdr:rowOff>
    </xdr:to>
    <xdr:cxnSp macro="">
      <xdr:nvCxnSpPr>
        <xdr:cNvPr id="1515" name="직선 화살표 연결선 1514"/>
        <xdr:cNvCxnSpPr/>
      </xdr:nvCxnSpPr>
      <xdr:spPr>
        <a:xfrm>
          <a:off x="9329056" y="73723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40539</xdr:colOff>
      <xdr:row>46</xdr:row>
      <xdr:rowOff>68317</xdr:rowOff>
    </xdr:from>
    <xdr:to>
      <xdr:col>33</xdr:col>
      <xdr:colOff>101772</xdr:colOff>
      <xdr:row>47</xdr:row>
      <xdr:rowOff>31531</xdr:rowOff>
    </xdr:to>
    <xdr:sp macro="" textlink="">
      <xdr:nvSpPr>
        <xdr:cNvPr id="1516" name="직사각형 1515"/>
        <xdr:cNvSpPr/>
      </xdr:nvSpPr>
      <xdr:spPr>
        <a:xfrm>
          <a:off x="9329056" y="71628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40539</xdr:colOff>
      <xdr:row>46</xdr:row>
      <xdr:rowOff>125467</xdr:rowOff>
    </xdr:from>
    <xdr:to>
      <xdr:col>33</xdr:col>
      <xdr:colOff>71156</xdr:colOff>
      <xdr:row>46</xdr:row>
      <xdr:rowOff>125467</xdr:rowOff>
    </xdr:to>
    <xdr:cxnSp macro="">
      <xdr:nvCxnSpPr>
        <xdr:cNvPr id="1517" name="직선 화살표 연결선 1516"/>
        <xdr:cNvCxnSpPr/>
      </xdr:nvCxnSpPr>
      <xdr:spPr>
        <a:xfrm>
          <a:off x="9329056" y="7219950"/>
          <a:ext cx="306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20129</xdr:colOff>
      <xdr:row>45</xdr:row>
      <xdr:rowOff>67003</xdr:rowOff>
    </xdr:from>
    <xdr:to>
      <xdr:col>33</xdr:col>
      <xdr:colOff>60951</xdr:colOff>
      <xdr:row>46</xdr:row>
      <xdr:rowOff>30217</xdr:rowOff>
    </xdr:to>
    <xdr:sp macro="" textlink="">
      <xdr:nvSpPr>
        <xdr:cNvPr id="1518" name="직사각형 1517"/>
        <xdr:cNvSpPr/>
      </xdr:nvSpPr>
      <xdr:spPr>
        <a:xfrm>
          <a:off x="9308646" y="7010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20129</xdr:colOff>
      <xdr:row>45</xdr:row>
      <xdr:rowOff>124153</xdr:rowOff>
    </xdr:from>
    <xdr:to>
      <xdr:col>33</xdr:col>
      <xdr:colOff>40539</xdr:colOff>
      <xdr:row>45</xdr:row>
      <xdr:rowOff>124153</xdr:rowOff>
    </xdr:to>
    <xdr:cxnSp macro="">
      <xdr:nvCxnSpPr>
        <xdr:cNvPr id="1519" name="직선 화살표 연결선 1518"/>
        <xdr:cNvCxnSpPr/>
      </xdr:nvCxnSpPr>
      <xdr:spPr>
        <a:xfrm>
          <a:off x="9308646" y="7067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20129</xdr:colOff>
      <xdr:row>44</xdr:row>
      <xdr:rowOff>65690</xdr:rowOff>
    </xdr:from>
    <xdr:to>
      <xdr:col>33</xdr:col>
      <xdr:colOff>60951</xdr:colOff>
      <xdr:row>45</xdr:row>
      <xdr:rowOff>28903</xdr:rowOff>
    </xdr:to>
    <xdr:sp macro="" textlink="">
      <xdr:nvSpPr>
        <xdr:cNvPr id="1520" name="직사각형 1519"/>
        <xdr:cNvSpPr/>
      </xdr:nvSpPr>
      <xdr:spPr>
        <a:xfrm>
          <a:off x="9308646" y="6858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20129</xdr:colOff>
      <xdr:row>44</xdr:row>
      <xdr:rowOff>122840</xdr:rowOff>
    </xdr:from>
    <xdr:to>
      <xdr:col>33</xdr:col>
      <xdr:colOff>40539</xdr:colOff>
      <xdr:row>44</xdr:row>
      <xdr:rowOff>122840</xdr:rowOff>
    </xdr:to>
    <xdr:cxnSp macro="">
      <xdr:nvCxnSpPr>
        <xdr:cNvPr id="1521" name="직선 화살표 연결선 1520"/>
        <xdr:cNvCxnSpPr/>
      </xdr:nvCxnSpPr>
      <xdr:spPr>
        <a:xfrm>
          <a:off x="9308646" y="6915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20129</xdr:colOff>
      <xdr:row>43</xdr:row>
      <xdr:rowOff>64376</xdr:rowOff>
    </xdr:from>
    <xdr:to>
      <xdr:col>33</xdr:col>
      <xdr:colOff>60951</xdr:colOff>
      <xdr:row>44</xdr:row>
      <xdr:rowOff>27590</xdr:rowOff>
    </xdr:to>
    <xdr:sp macro="" textlink="">
      <xdr:nvSpPr>
        <xdr:cNvPr id="1522" name="직사각형 1521"/>
        <xdr:cNvSpPr/>
      </xdr:nvSpPr>
      <xdr:spPr>
        <a:xfrm>
          <a:off x="9308646" y="67056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20129</xdr:colOff>
      <xdr:row>43</xdr:row>
      <xdr:rowOff>121526</xdr:rowOff>
    </xdr:from>
    <xdr:to>
      <xdr:col>33</xdr:col>
      <xdr:colOff>40539</xdr:colOff>
      <xdr:row>43</xdr:row>
      <xdr:rowOff>121526</xdr:rowOff>
    </xdr:to>
    <xdr:cxnSp macro="">
      <xdr:nvCxnSpPr>
        <xdr:cNvPr id="1523" name="직선 화살표 연결선 1522"/>
        <xdr:cNvCxnSpPr/>
      </xdr:nvCxnSpPr>
      <xdr:spPr>
        <a:xfrm>
          <a:off x="9308646" y="6762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42</xdr:row>
      <xdr:rowOff>63062</xdr:rowOff>
    </xdr:from>
    <xdr:to>
      <xdr:col>33</xdr:col>
      <xdr:colOff>40539</xdr:colOff>
      <xdr:row>43</xdr:row>
      <xdr:rowOff>26276</xdr:rowOff>
    </xdr:to>
    <xdr:sp macro="" textlink="">
      <xdr:nvSpPr>
        <xdr:cNvPr id="1524" name="직사각형 1523"/>
        <xdr:cNvSpPr/>
      </xdr:nvSpPr>
      <xdr:spPr>
        <a:xfrm>
          <a:off x="8655503" y="65532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42</xdr:row>
      <xdr:rowOff>120212</xdr:rowOff>
    </xdr:from>
    <xdr:to>
      <xdr:col>30</xdr:col>
      <xdr:colOff>137314</xdr:colOff>
      <xdr:row>42</xdr:row>
      <xdr:rowOff>120212</xdr:rowOff>
    </xdr:to>
    <xdr:cxnSp macro="">
      <xdr:nvCxnSpPr>
        <xdr:cNvPr id="1525" name="직선 화살표 연결선 1524"/>
        <xdr:cNvCxnSpPr/>
      </xdr:nvCxnSpPr>
      <xdr:spPr>
        <a:xfrm>
          <a:off x="8655503" y="66103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41</xdr:row>
      <xdr:rowOff>61748</xdr:rowOff>
    </xdr:from>
    <xdr:to>
      <xdr:col>33</xdr:col>
      <xdr:colOff>40539</xdr:colOff>
      <xdr:row>42</xdr:row>
      <xdr:rowOff>24962</xdr:rowOff>
    </xdr:to>
    <xdr:sp macro="" textlink="">
      <xdr:nvSpPr>
        <xdr:cNvPr id="1526" name="직사각형 1525"/>
        <xdr:cNvSpPr/>
      </xdr:nvSpPr>
      <xdr:spPr>
        <a:xfrm>
          <a:off x="8655503" y="64008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41</xdr:row>
      <xdr:rowOff>118898</xdr:rowOff>
    </xdr:from>
    <xdr:to>
      <xdr:col>30</xdr:col>
      <xdr:colOff>137314</xdr:colOff>
      <xdr:row>41</xdr:row>
      <xdr:rowOff>118898</xdr:rowOff>
    </xdr:to>
    <xdr:cxnSp macro="">
      <xdr:nvCxnSpPr>
        <xdr:cNvPr id="1527" name="직선 화살표 연결선 1526"/>
        <xdr:cNvCxnSpPr/>
      </xdr:nvCxnSpPr>
      <xdr:spPr>
        <a:xfrm>
          <a:off x="8655503" y="64579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40</xdr:row>
      <xdr:rowOff>60434</xdr:rowOff>
    </xdr:from>
    <xdr:to>
      <xdr:col>33</xdr:col>
      <xdr:colOff>40539</xdr:colOff>
      <xdr:row>41</xdr:row>
      <xdr:rowOff>23648</xdr:rowOff>
    </xdr:to>
    <xdr:sp macro="" textlink="">
      <xdr:nvSpPr>
        <xdr:cNvPr id="1528" name="직사각형 1527"/>
        <xdr:cNvSpPr/>
      </xdr:nvSpPr>
      <xdr:spPr>
        <a:xfrm>
          <a:off x="8655503" y="62484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40</xdr:row>
      <xdr:rowOff>117584</xdr:rowOff>
    </xdr:from>
    <xdr:to>
      <xdr:col>30</xdr:col>
      <xdr:colOff>137314</xdr:colOff>
      <xdr:row>40</xdr:row>
      <xdr:rowOff>117584</xdr:rowOff>
    </xdr:to>
    <xdr:cxnSp macro="">
      <xdr:nvCxnSpPr>
        <xdr:cNvPr id="1529" name="직선 화살표 연결선 1528"/>
        <xdr:cNvCxnSpPr/>
      </xdr:nvCxnSpPr>
      <xdr:spPr>
        <a:xfrm>
          <a:off x="8655503" y="63055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39</xdr:row>
      <xdr:rowOff>59121</xdr:rowOff>
    </xdr:from>
    <xdr:to>
      <xdr:col>33</xdr:col>
      <xdr:colOff>40539</xdr:colOff>
      <xdr:row>40</xdr:row>
      <xdr:rowOff>22334</xdr:rowOff>
    </xdr:to>
    <xdr:sp macro="" textlink="">
      <xdr:nvSpPr>
        <xdr:cNvPr id="1530" name="직사각형 1529"/>
        <xdr:cNvSpPr/>
      </xdr:nvSpPr>
      <xdr:spPr>
        <a:xfrm>
          <a:off x="8655503" y="60960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39</xdr:row>
      <xdr:rowOff>116271</xdr:rowOff>
    </xdr:from>
    <xdr:to>
      <xdr:col>30</xdr:col>
      <xdr:colOff>137314</xdr:colOff>
      <xdr:row>39</xdr:row>
      <xdr:rowOff>116271</xdr:rowOff>
    </xdr:to>
    <xdr:cxnSp macro="">
      <xdr:nvCxnSpPr>
        <xdr:cNvPr id="1531" name="직선 화살표 연결선 1530"/>
        <xdr:cNvCxnSpPr/>
      </xdr:nvCxnSpPr>
      <xdr:spPr>
        <a:xfrm>
          <a:off x="8655503" y="61531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38</xdr:row>
      <xdr:rowOff>57807</xdr:rowOff>
    </xdr:from>
    <xdr:to>
      <xdr:col>33</xdr:col>
      <xdr:colOff>40539</xdr:colOff>
      <xdr:row>39</xdr:row>
      <xdr:rowOff>21021</xdr:rowOff>
    </xdr:to>
    <xdr:sp macro="" textlink="">
      <xdr:nvSpPr>
        <xdr:cNvPr id="1532" name="직사각형 1531"/>
        <xdr:cNvSpPr/>
      </xdr:nvSpPr>
      <xdr:spPr>
        <a:xfrm>
          <a:off x="8655503" y="59436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38</xdr:row>
      <xdr:rowOff>114957</xdr:rowOff>
    </xdr:from>
    <xdr:to>
      <xdr:col>30</xdr:col>
      <xdr:colOff>137314</xdr:colOff>
      <xdr:row>38</xdr:row>
      <xdr:rowOff>114957</xdr:rowOff>
    </xdr:to>
    <xdr:cxnSp macro="">
      <xdr:nvCxnSpPr>
        <xdr:cNvPr id="1533" name="직선 화살표 연결선 1532"/>
        <xdr:cNvCxnSpPr/>
      </xdr:nvCxnSpPr>
      <xdr:spPr>
        <a:xfrm>
          <a:off x="8655503" y="60007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37</xdr:row>
      <xdr:rowOff>56493</xdr:rowOff>
    </xdr:from>
    <xdr:to>
      <xdr:col>33</xdr:col>
      <xdr:colOff>40539</xdr:colOff>
      <xdr:row>38</xdr:row>
      <xdr:rowOff>19707</xdr:rowOff>
    </xdr:to>
    <xdr:sp macro="" textlink="">
      <xdr:nvSpPr>
        <xdr:cNvPr id="1534" name="직사각형 1533"/>
        <xdr:cNvSpPr/>
      </xdr:nvSpPr>
      <xdr:spPr>
        <a:xfrm>
          <a:off x="8655503" y="5791200"/>
          <a:ext cx="6735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37</xdr:row>
      <xdr:rowOff>113643</xdr:rowOff>
    </xdr:from>
    <xdr:to>
      <xdr:col>30</xdr:col>
      <xdr:colOff>137314</xdr:colOff>
      <xdr:row>37</xdr:row>
      <xdr:rowOff>113643</xdr:rowOff>
    </xdr:to>
    <xdr:cxnSp macro="">
      <xdr:nvCxnSpPr>
        <xdr:cNvPr id="1535" name="직선 화살표 연결선 1534"/>
        <xdr:cNvCxnSpPr/>
      </xdr:nvCxnSpPr>
      <xdr:spPr>
        <a:xfrm>
          <a:off x="8655503" y="58483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36</xdr:row>
      <xdr:rowOff>55179</xdr:rowOff>
    </xdr:from>
    <xdr:to>
      <xdr:col>33</xdr:col>
      <xdr:colOff>40539</xdr:colOff>
      <xdr:row>37</xdr:row>
      <xdr:rowOff>18393</xdr:rowOff>
    </xdr:to>
    <xdr:sp macro="" textlink="">
      <xdr:nvSpPr>
        <xdr:cNvPr id="1536" name="직사각형 1535"/>
        <xdr:cNvSpPr/>
      </xdr:nvSpPr>
      <xdr:spPr>
        <a:xfrm>
          <a:off x="8655503" y="5638800"/>
          <a:ext cx="6735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36</xdr:row>
      <xdr:rowOff>112329</xdr:rowOff>
    </xdr:from>
    <xdr:to>
      <xdr:col>30</xdr:col>
      <xdr:colOff>137314</xdr:colOff>
      <xdr:row>36</xdr:row>
      <xdr:rowOff>112329</xdr:rowOff>
    </xdr:to>
    <xdr:cxnSp macro="">
      <xdr:nvCxnSpPr>
        <xdr:cNvPr id="1537" name="직선 화살표 연결선 1536"/>
        <xdr:cNvCxnSpPr/>
      </xdr:nvCxnSpPr>
      <xdr:spPr>
        <a:xfrm>
          <a:off x="8655503" y="56959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35</xdr:row>
      <xdr:rowOff>53866</xdr:rowOff>
    </xdr:from>
    <xdr:to>
      <xdr:col>33</xdr:col>
      <xdr:colOff>40539</xdr:colOff>
      <xdr:row>36</xdr:row>
      <xdr:rowOff>17079</xdr:rowOff>
    </xdr:to>
    <xdr:sp macro="" textlink="">
      <xdr:nvSpPr>
        <xdr:cNvPr id="1538" name="직사각형 1537"/>
        <xdr:cNvSpPr/>
      </xdr:nvSpPr>
      <xdr:spPr>
        <a:xfrm>
          <a:off x="8655503" y="5486400"/>
          <a:ext cx="6735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35</xdr:row>
      <xdr:rowOff>111016</xdr:rowOff>
    </xdr:from>
    <xdr:to>
      <xdr:col>30</xdr:col>
      <xdr:colOff>137314</xdr:colOff>
      <xdr:row>35</xdr:row>
      <xdr:rowOff>111016</xdr:rowOff>
    </xdr:to>
    <xdr:cxnSp macro="">
      <xdr:nvCxnSpPr>
        <xdr:cNvPr id="1539" name="직선 화살표 연결선 1538"/>
        <xdr:cNvCxnSpPr/>
      </xdr:nvCxnSpPr>
      <xdr:spPr>
        <a:xfrm>
          <a:off x="8655503" y="55435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34</xdr:row>
      <xdr:rowOff>52552</xdr:rowOff>
    </xdr:from>
    <xdr:to>
      <xdr:col>33</xdr:col>
      <xdr:colOff>40539</xdr:colOff>
      <xdr:row>35</xdr:row>
      <xdr:rowOff>15766</xdr:rowOff>
    </xdr:to>
    <xdr:sp macro="" textlink="">
      <xdr:nvSpPr>
        <xdr:cNvPr id="1540" name="직사각형 1539"/>
        <xdr:cNvSpPr/>
      </xdr:nvSpPr>
      <xdr:spPr>
        <a:xfrm>
          <a:off x="8655503" y="5334000"/>
          <a:ext cx="6735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34</xdr:row>
      <xdr:rowOff>109702</xdr:rowOff>
    </xdr:from>
    <xdr:to>
      <xdr:col>30</xdr:col>
      <xdr:colOff>137314</xdr:colOff>
      <xdr:row>34</xdr:row>
      <xdr:rowOff>109702</xdr:rowOff>
    </xdr:to>
    <xdr:cxnSp macro="">
      <xdr:nvCxnSpPr>
        <xdr:cNvPr id="1541" name="직선 화살표 연결선 1540"/>
        <xdr:cNvCxnSpPr/>
      </xdr:nvCxnSpPr>
      <xdr:spPr>
        <a:xfrm>
          <a:off x="8655503" y="5391150"/>
          <a:ext cx="336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89572</xdr:colOff>
      <xdr:row>33</xdr:row>
      <xdr:rowOff>51238</xdr:rowOff>
    </xdr:from>
    <xdr:to>
      <xdr:col>33</xdr:col>
      <xdr:colOff>60951</xdr:colOff>
      <xdr:row>34</xdr:row>
      <xdr:rowOff>14452</xdr:rowOff>
    </xdr:to>
    <xdr:sp macro="" textlink="">
      <xdr:nvSpPr>
        <xdr:cNvPr id="1542" name="직사각형 1541"/>
        <xdr:cNvSpPr/>
      </xdr:nvSpPr>
      <xdr:spPr>
        <a:xfrm>
          <a:off x="8655503" y="51816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89572</xdr:colOff>
      <xdr:row>33</xdr:row>
      <xdr:rowOff>108388</xdr:rowOff>
    </xdr:from>
    <xdr:to>
      <xdr:col>31</xdr:col>
      <xdr:colOff>3003</xdr:colOff>
      <xdr:row>33</xdr:row>
      <xdr:rowOff>108388</xdr:rowOff>
    </xdr:to>
    <xdr:cxnSp macro="">
      <xdr:nvCxnSpPr>
        <xdr:cNvPr id="1543" name="직선 화살표 연결선 1542"/>
        <xdr:cNvCxnSpPr/>
      </xdr:nvCxnSpPr>
      <xdr:spPr>
        <a:xfrm>
          <a:off x="8655503" y="5238750"/>
          <a:ext cx="3469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32</xdr:row>
      <xdr:rowOff>49924</xdr:rowOff>
    </xdr:from>
    <xdr:to>
      <xdr:col>29</xdr:col>
      <xdr:colOff>87930</xdr:colOff>
      <xdr:row>33</xdr:row>
      <xdr:rowOff>13138</xdr:rowOff>
    </xdr:to>
    <xdr:sp macro="" textlink="">
      <xdr:nvSpPr>
        <xdr:cNvPr id="1544" name="직사각형 1543"/>
        <xdr:cNvSpPr/>
      </xdr:nvSpPr>
      <xdr:spPr>
        <a:xfrm>
          <a:off x="8635093" y="50292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32</xdr:row>
      <xdr:rowOff>107074</xdr:rowOff>
    </xdr:from>
    <xdr:to>
      <xdr:col>29</xdr:col>
      <xdr:colOff>6288</xdr:colOff>
      <xdr:row>32</xdr:row>
      <xdr:rowOff>107074</xdr:rowOff>
    </xdr:to>
    <xdr:cxnSp macro="">
      <xdr:nvCxnSpPr>
        <xdr:cNvPr id="1545" name="직선 화살표 연결선 1544"/>
        <xdr:cNvCxnSpPr/>
      </xdr:nvCxnSpPr>
      <xdr:spPr>
        <a:xfrm>
          <a:off x="8635093" y="50863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31</xdr:row>
      <xdr:rowOff>48610</xdr:rowOff>
    </xdr:from>
    <xdr:to>
      <xdr:col>29</xdr:col>
      <xdr:colOff>87930</xdr:colOff>
      <xdr:row>32</xdr:row>
      <xdr:rowOff>11824</xdr:rowOff>
    </xdr:to>
    <xdr:sp macro="" textlink="">
      <xdr:nvSpPr>
        <xdr:cNvPr id="1546" name="직사각형 1545"/>
        <xdr:cNvSpPr/>
      </xdr:nvSpPr>
      <xdr:spPr>
        <a:xfrm>
          <a:off x="8635093" y="48768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31</xdr:row>
      <xdr:rowOff>105760</xdr:rowOff>
    </xdr:from>
    <xdr:to>
      <xdr:col>29</xdr:col>
      <xdr:colOff>6288</xdr:colOff>
      <xdr:row>31</xdr:row>
      <xdr:rowOff>105760</xdr:rowOff>
    </xdr:to>
    <xdr:cxnSp macro="">
      <xdr:nvCxnSpPr>
        <xdr:cNvPr id="1547" name="직선 화살표 연결선 1546"/>
        <xdr:cNvCxnSpPr/>
      </xdr:nvCxnSpPr>
      <xdr:spPr>
        <a:xfrm>
          <a:off x="8635093" y="49339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30</xdr:row>
      <xdr:rowOff>47297</xdr:rowOff>
    </xdr:from>
    <xdr:to>
      <xdr:col>29</xdr:col>
      <xdr:colOff>87930</xdr:colOff>
      <xdr:row>31</xdr:row>
      <xdr:rowOff>10510</xdr:rowOff>
    </xdr:to>
    <xdr:sp macro="" textlink="">
      <xdr:nvSpPr>
        <xdr:cNvPr id="1548" name="직사각형 1547"/>
        <xdr:cNvSpPr/>
      </xdr:nvSpPr>
      <xdr:spPr>
        <a:xfrm>
          <a:off x="8635093" y="47244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30</xdr:row>
      <xdr:rowOff>104447</xdr:rowOff>
    </xdr:from>
    <xdr:to>
      <xdr:col>29</xdr:col>
      <xdr:colOff>6288</xdr:colOff>
      <xdr:row>30</xdr:row>
      <xdr:rowOff>104447</xdr:rowOff>
    </xdr:to>
    <xdr:cxnSp macro="">
      <xdr:nvCxnSpPr>
        <xdr:cNvPr id="1549" name="직선 화살표 연결선 1548"/>
        <xdr:cNvCxnSpPr/>
      </xdr:nvCxnSpPr>
      <xdr:spPr>
        <a:xfrm>
          <a:off x="8635093" y="47815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29</xdr:row>
      <xdr:rowOff>45983</xdr:rowOff>
    </xdr:from>
    <xdr:to>
      <xdr:col>29</xdr:col>
      <xdr:colOff>87930</xdr:colOff>
      <xdr:row>30</xdr:row>
      <xdr:rowOff>9197</xdr:rowOff>
    </xdr:to>
    <xdr:sp macro="" textlink="">
      <xdr:nvSpPr>
        <xdr:cNvPr id="1550" name="직사각형 1549"/>
        <xdr:cNvSpPr/>
      </xdr:nvSpPr>
      <xdr:spPr>
        <a:xfrm>
          <a:off x="8635093" y="45720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29</xdr:row>
      <xdr:rowOff>103133</xdr:rowOff>
    </xdr:from>
    <xdr:to>
      <xdr:col>29</xdr:col>
      <xdr:colOff>6288</xdr:colOff>
      <xdr:row>29</xdr:row>
      <xdr:rowOff>103133</xdr:rowOff>
    </xdr:to>
    <xdr:cxnSp macro="">
      <xdr:nvCxnSpPr>
        <xdr:cNvPr id="1551" name="직선 화살표 연결선 1550"/>
        <xdr:cNvCxnSpPr/>
      </xdr:nvCxnSpPr>
      <xdr:spPr>
        <a:xfrm>
          <a:off x="8635093" y="4629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48750</xdr:colOff>
      <xdr:row>28</xdr:row>
      <xdr:rowOff>44669</xdr:rowOff>
    </xdr:from>
    <xdr:to>
      <xdr:col>28</xdr:col>
      <xdr:colOff>69162</xdr:colOff>
      <xdr:row>29</xdr:row>
      <xdr:rowOff>7883</xdr:rowOff>
    </xdr:to>
    <xdr:sp macro="" textlink="">
      <xdr:nvSpPr>
        <xdr:cNvPr id="1552" name="직사각형 1551"/>
        <xdr:cNvSpPr/>
      </xdr:nvSpPr>
      <xdr:spPr>
        <a:xfrm>
          <a:off x="8614681" y="4419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48750</xdr:colOff>
      <xdr:row>28</xdr:row>
      <xdr:rowOff>101819</xdr:rowOff>
    </xdr:from>
    <xdr:to>
      <xdr:col>28</xdr:col>
      <xdr:colOff>58956</xdr:colOff>
      <xdr:row>28</xdr:row>
      <xdr:rowOff>101819</xdr:rowOff>
    </xdr:to>
    <xdr:cxnSp macro="">
      <xdr:nvCxnSpPr>
        <xdr:cNvPr id="1553" name="직선 화살표 연결선 1552"/>
        <xdr:cNvCxnSpPr/>
      </xdr:nvCxnSpPr>
      <xdr:spPr>
        <a:xfrm>
          <a:off x="8614681" y="44767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48750</xdr:colOff>
      <xdr:row>27</xdr:row>
      <xdr:rowOff>43355</xdr:rowOff>
    </xdr:from>
    <xdr:to>
      <xdr:col>29</xdr:col>
      <xdr:colOff>87930</xdr:colOff>
      <xdr:row>28</xdr:row>
      <xdr:rowOff>6569</xdr:rowOff>
    </xdr:to>
    <xdr:sp macro="" textlink="">
      <xdr:nvSpPr>
        <xdr:cNvPr id="1554" name="직사각형 1553"/>
        <xdr:cNvSpPr/>
      </xdr:nvSpPr>
      <xdr:spPr>
        <a:xfrm>
          <a:off x="8614681" y="4267200"/>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48750</xdr:colOff>
      <xdr:row>27</xdr:row>
      <xdr:rowOff>100505</xdr:rowOff>
    </xdr:from>
    <xdr:to>
      <xdr:col>28</xdr:col>
      <xdr:colOff>140599</xdr:colOff>
      <xdr:row>27</xdr:row>
      <xdr:rowOff>100505</xdr:rowOff>
    </xdr:to>
    <xdr:cxnSp macro="">
      <xdr:nvCxnSpPr>
        <xdr:cNvPr id="1555" name="직선 화살표 연결선 1554"/>
        <xdr:cNvCxnSpPr/>
      </xdr:nvCxnSpPr>
      <xdr:spPr>
        <a:xfrm>
          <a:off x="8614681" y="4324350"/>
          <a:ext cx="91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26</xdr:row>
      <xdr:rowOff>42041</xdr:rowOff>
    </xdr:from>
    <xdr:to>
      <xdr:col>28</xdr:col>
      <xdr:colOff>89572</xdr:colOff>
      <xdr:row>27</xdr:row>
      <xdr:rowOff>5255</xdr:rowOff>
    </xdr:to>
    <xdr:sp macro="" textlink="">
      <xdr:nvSpPr>
        <xdr:cNvPr id="1556" name="직사각형 1555"/>
        <xdr:cNvSpPr/>
      </xdr:nvSpPr>
      <xdr:spPr>
        <a:xfrm>
          <a:off x="8635093" y="4114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26</xdr:row>
      <xdr:rowOff>99191</xdr:rowOff>
    </xdr:from>
    <xdr:to>
      <xdr:col>28</xdr:col>
      <xdr:colOff>79367</xdr:colOff>
      <xdr:row>26</xdr:row>
      <xdr:rowOff>99191</xdr:rowOff>
    </xdr:to>
    <xdr:cxnSp macro="">
      <xdr:nvCxnSpPr>
        <xdr:cNvPr id="1557" name="직선 화살표 연결선 1556"/>
        <xdr:cNvCxnSpPr/>
      </xdr:nvCxnSpPr>
      <xdr:spPr>
        <a:xfrm>
          <a:off x="8635093" y="41719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25</xdr:row>
      <xdr:rowOff>40728</xdr:rowOff>
    </xdr:from>
    <xdr:to>
      <xdr:col>28</xdr:col>
      <xdr:colOff>89572</xdr:colOff>
      <xdr:row>26</xdr:row>
      <xdr:rowOff>3941</xdr:rowOff>
    </xdr:to>
    <xdr:sp macro="" textlink="">
      <xdr:nvSpPr>
        <xdr:cNvPr id="1558" name="직사각형 1557"/>
        <xdr:cNvSpPr/>
      </xdr:nvSpPr>
      <xdr:spPr>
        <a:xfrm>
          <a:off x="8635093" y="3962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25</xdr:row>
      <xdr:rowOff>97878</xdr:rowOff>
    </xdr:from>
    <xdr:to>
      <xdr:col>28</xdr:col>
      <xdr:colOff>79367</xdr:colOff>
      <xdr:row>25</xdr:row>
      <xdr:rowOff>97878</xdr:rowOff>
    </xdr:to>
    <xdr:cxnSp macro="">
      <xdr:nvCxnSpPr>
        <xdr:cNvPr id="1559" name="직선 화살표 연결선 1558"/>
        <xdr:cNvCxnSpPr/>
      </xdr:nvCxnSpPr>
      <xdr:spPr>
        <a:xfrm>
          <a:off x="8635093" y="40195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69162</xdr:colOff>
      <xdr:row>24</xdr:row>
      <xdr:rowOff>39414</xdr:rowOff>
    </xdr:from>
    <xdr:to>
      <xdr:col>28</xdr:col>
      <xdr:colOff>89572</xdr:colOff>
      <xdr:row>25</xdr:row>
      <xdr:rowOff>2628</xdr:rowOff>
    </xdr:to>
    <xdr:sp macro="" textlink="">
      <xdr:nvSpPr>
        <xdr:cNvPr id="1560" name="직사각형 1559"/>
        <xdr:cNvSpPr/>
      </xdr:nvSpPr>
      <xdr:spPr>
        <a:xfrm>
          <a:off x="8635093" y="38100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69162</xdr:colOff>
      <xdr:row>24</xdr:row>
      <xdr:rowOff>96564</xdr:rowOff>
    </xdr:from>
    <xdr:to>
      <xdr:col>28</xdr:col>
      <xdr:colOff>79367</xdr:colOff>
      <xdr:row>24</xdr:row>
      <xdr:rowOff>96564</xdr:rowOff>
    </xdr:to>
    <xdr:cxnSp macro="">
      <xdr:nvCxnSpPr>
        <xdr:cNvPr id="1561" name="직선 화살표 연결선 1560"/>
        <xdr:cNvCxnSpPr/>
      </xdr:nvCxnSpPr>
      <xdr:spPr>
        <a:xfrm>
          <a:off x="8635093" y="3867150"/>
          <a:ext cx="1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48750</xdr:colOff>
      <xdr:row>23</xdr:row>
      <xdr:rowOff>38100</xdr:rowOff>
    </xdr:from>
    <xdr:to>
      <xdr:col>28</xdr:col>
      <xdr:colOff>69162</xdr:colOff>
      <xdr:row>24</xdr:row>
      <xdr:rowOff>1314</xdr:rowOff>
    </xdr:to>
    <xdr:sp macro="" textlink="">
      <xdr:nvSpPr>
        <xdr:cNvPr id="1562" name="직사각형 1561"/>
        <xdr:cNvSpPr/>
      </xdr:nvSpPr>
      <xdr:spPr>
        <a:xfrm>
          <a:off x="8614681" y="365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48750</xdr:colOff>
      <xdr:row>23</xdr:row>
      <xdr:rowOff>95250</xdr:rowOff>
    </xdr:from>
    <xdr:to>
      <xdr:col>28</xdr:col>
      <xdr:colOff>58956</xdr:colOff>
      <xdr:row>23</xdr:row>
      <xdr:rowOff>95250</xdr:rowOff>
    </xdr:to>
    <xdr:cxnSp macro="">
      <xdr:nvCxnSpPr>
        <xdr:cNvPr id="1563" name="직선 화살표 연결선 1562"/>
        <xdr:cNvCxnSpPr/>
      </xdr:nvCxnSpPr>
      <xdr:spPr>
        <a:xfrm>
          <a:off x="8614681" y="37147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48750</xdr:colOff>
      <xdr:row>22</xdr:row>
      <xdr:rowOff>36786</xdr:rowOff>
    </xdr:from>
    <xdr:to>
      <xdr:col>28</xdr:col>
      <xdr:colOff>89572</xdr:colOff>
      <xdr:row>23</xdr:row>
      <xdr:rowOff>0</xdr:rowOff>
    </xdr:to>
    <xdr:sp macro="" textlink="">
      <xdr:nvSpPr>
        <xdr:cNvPr id="1564" name="직사각형 1563"/>
        <xdr:cNvSpPr/>
      </xdr:nvSpPr>
      <xdr:spPr>
        <a:xfrm>
          <a:off x="8614681" y="35052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48750</xdr:colOff>
      <xdr:row>22</xdr:row>
      <xdr:rowOff>93936</xdr:rowOff>
    </xdr:from>
    <xdr:to>
      <xdr:col>28</xdr:col>
      <xdr:colOff>69162</xdr:colOff>
      <xdr:row>22</xdr:row>
      <xdr:rowOff>93936</xdr:rowOff>
    </xdr:to>
    <xdr:cxnSp macro="">
      <xdr:nvCxnSpPr>
        <xdr:cNvPr id="1565" name="직선 화살표 연결선 1564"/>
        <xdr:cNvCxnSpPr/>
      </xdr:nvCxnSpPr>
      <xdr:spPr>
        <a:xfrm>
          <a:off x="8614681" y="3562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48750</xdr:colOff>
      <xdr:row>21</xdr:row>
      <xdr:rowOff>35472</xdr:rowOff>
    </xdr:from>
    <xdr:to>
      <xdr:col>33</xdr:col>
      <xdr:colOff>101772</xdr:colOff>
      <xdr:row>21</xdr:row>
      <xdr:rowOff>149772</xdr:rowOff>
    </xdr:to>
    <xdr:sp macro="" textlink="">
      <xdr:nvSpPr>
        <xdr:cNvPr id="1566" name="직사각형 1565"/>
        <xdr:cNvSpPr/>
      </xdr:nvSpPr>
      <xdr:spPr>
        <a:xfrm>
          <a:off x="8614681" y="3352800"/>
          <a:ext cx="7756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48750</xdr:colOff>
      <xdr:row>21</xdr:row>
      <xdr:rowOff>92622</xdr:rowOff>
    </xdr:from>
    <xdr:to>
      <xdr:col>31</xdr:col>
      <xdr:colOff>3003</xdr:colOff>
      <xdr:row>21</xdr:row>
      <xdr:rowOff>92622</xdr:rowOff>
    </xdr:to>
    <xdr:cxnSp macro="">
      <xdr:nvCxnSpPr>
        <xdr:cNvPr id="1567" name="직선 화살표 연결선 1566"/>
        <xdr:cNvCxnSpPr/>
      </xdr:nvCxnSpPr>
      <xdr:spPr>
        <a:xfrm>
          <a:off x="8614681" y="3409950"/>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20</xdr:row>
      <xdr:rowOff>34159</xdr:rowOff>
    </xdr:from>
    <xdr:to>
      <xdr:col>33</xdr:col>
      <xdr:colOff>81361</xdr:colOff>
      <xdr:row>20</xdr:row>
      <xdr:rowOff>148459</xdr:rowOff>
    </xdr:to>
    <xdr:sp macro="" textlink="">
      <xdr:nvSpPr>
        <xdr:cNvPr id="1568" name="직사각형 1567"/>
        <xdr:cNvSpPr/>
      </xdr:nvSpPr>
      <xdr:spPr>
        <a:xfrm>
          <a:off x="9349468" y="3200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20</xdr:row>
      <xdr:rowOff>91309</xdr:rowOff>
    </xdr:from>
    <xdr:to>
      <xdr:col>33</xdr:col>
      <xdr:colOff>81361</xdr:colOff>
      <xdr:row>20</xdr:row>
      <xdr:rowOff>91309</xdr:rowOff>
    </xdr:to>
    <xdr:cxnSp macro="">
      <xdr:nvCxnSpPr>
        <xdr:cNvPr id="1569" name="직선 화살표 연결선 1568"/>
        <xdr:cNvCxnSpPr/>
      </xdr:nvCxnSpPr>
      <xdr:spPr>
        <a:xfrm>
          <a:off x="9349468" y="3257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144235</xdr:colOff>
      <xdr:row>19</xdr:row>
      <xdr:rowOff>32845</xdr:rowOff>
    </xdr:from>
    <xdr:to>
      <xdr:col>33</xdr:col>
      <xdr:colOff>81361</xdr:colOff>
      <xdr:row>19</xdr:row>
      <xdr:rowOff>147145</xdr:rowOff>
    </xdr:to>
    <xdr:sp macro="" textlink="">
      <xdr:nvSpPr>
        <xdr:cNvPr id="1570" name="직사각형 1569"/>
        <xdr:cNvSpPr/>
      </xdr:nvSpPr>
      <xdr:spPr>
        <a:xfrm>
          <a:off x="9288235" y="3048000"/>
          <a:ext cx="816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32</xdr:col>
      <xdr:colOff>144235</xdr:colOff>
      <xdr:row>19</xdr:row>
      <xdr:rowOff>89995</xdr:rowOff>
    </xdr:from>
    <xdr:to>
      <xdr:col>33</xdr:col>
      <xdr:colOff>81361</xdr:colOff>
      <xdr:row>19</xdr:row>
      <xdr:rowOff>89995</xdr:rowOff>
    </xdr:to>
    <xdr:cxnSp macro="">
      <xdr:nvCxnSpPr>
        <xdr:cNvPr id="1571" name="직선 화살표 연결선 1570"/>
        <xdr:cNvCxnSpPr/>
      </xdr:nvCxnSpPr>
      <xdr:spPr>
        <a:xfrm>
          <a:off x="9288235" y="3105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60951</xdr:colOff>
      <xdr:row>18</xdr:row>
      <xdr:rowOff>31531</xdr:rowOff>
    </xdr:from>
    <xdr:to>
      <xdr:col>33</xdr:col>
      <xdr:colOff>81361</xdr:colOff>
      <xdr:row>18</xdr:row>
      <xdr:rowOff>145831</xdr:rowOff>
    </xdr:to>
    <xdr:sp macro="" textlink="">
      <xdr:nvSpPr>
        <xdr:cNvPr id="1572" name="직사각형 1571"/>
        <xdr:cNvSpPr/>
      </xdr:nvSpPr>
      <xdr:spPr>
        <a:xfrm>
          <a:off x="9349468" y="2895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60951</xdr:colOff>
      <xdr:row>18</xdr:row>
      <xdr:rowOff>88681</xdr:rowOff>
    </xdr:from>
    <xdr:to>
      <xdr:col>33</xdr:col>
      <xdr:colOff>81361</xdr:colOff>
      <xdr:row>18</xdr:row>
      <xdr:rowOff>88681</xdr:rowOff>
    </xdr:to>
    <xdr:cxnSp macro="">
      <xdr:nvCxnSpPr>
        <xdr:cNvPr id="1573" name="직선 화살표 연결선 1572"/>
        <xdr:cNvCxnSpPr/>
      </xdr:nvCxnSpPr>
      <xdr:spPr>
        <a:xfrm>
          <a:off x="9349468" y="2952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83003</xdr:colOff>
      <xdr:row>17</xdr:row>
      <xdr:rowOff>30217</xdr:rowOff>
    </xdr:from>
    <xdr:to>
      <xdr:col>32</xdr:col>
      <xdr:colOff>103414</xdr:colOff>
      <xdr:row>17</xdr:row>
      <xdr:rowOff>144517</xdr:rowOff>
    </xdr:to>
    <xdr:sp macro="" textlink="">
      <xdr:nvSpPr>
        <xdr:cNvPr id="1574" name="직사각형 1573"/>
        <xdr:cNvSpPr/>
      </xdr:nvSpPr>
      <xdr:spPr>
        <a:xfrm>
          <a:off x="9227003" y="2743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32</xdr:col>
      <xdr:colOff>83003</xdr:colOff>
      <xdr:row>17</xdr:row>
      <xdr:rowOff>87367</xdr:rowOff>
    </xdr:from>
    <xdr:to>
      <xdr:col>32</xdr:col>
      <xdr:colOff>103414</xdr:colOff>
      <xdr:row>17</xdr:row>
      <xdr:rowOff>87367</xdr:rowOff>
    </xdr:to>
    <xdr:cxnSp macro="">
      <xdr:nvCxnSpPr>
        <xdr:cNvPr id="1575" name="직선 화살표 연결선 1574"/>
        <xdr:cNvCxnSpPr/>
      </xdr:nvCxnSpPr>
      <xdr:spPr>
        <a:xfrm>
          <a:off x="9227003" y="2800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83003</xdr:colOff>
      <xdr:row>16</xdr:row>
      <xdr:rowOff>28903</xdr:rowOff>
    </xdr:from>
    <xdr:to>
      <xdr:col>33</xdr:col>
      <xdr:colOff>81361</xdr:colOff>
      <xdr:row>16</xdr:row>
      <xdr:rowOff>143203</xdr:rowOff>
    </xdr:to>
    <xdr:sp macro="" textlink="">
      <xdr:nvSpPr>
        <xdr:cNvPr id="1576" name="직사각형 1575"/>
        <xdr:cNvSpPr/>
      </xdr:nvSpPr>
      <xdr:spPr>
        <a:xfrm>
          <a:off x="9227003" y="2590800"/>
          <a:ext cx="1428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32</xdr:col>
      <xdr:colOff>83003</xdr:colOff>
      <xdr:row>16</xdr:row>
      <xdr:rowOff>86053</xdr:rowOff>
    </xdr:from>
    <xdr:to>
      <xdr:col>33</xdr:col>
      <xdr:colOff>81361</xdr:colOff>
      <xdr:row>16</xdr:row>
      <xdr:rowOff>86053</xdr:rowOff>
    </xdr:to>
    <xdr:cxnSp macro="">
      <xdr:nvCxnSpPr>
        <xdr:cNvPr id="1577" name="직선 화살표 연결선 1576"/>
        <xdr:cNvCxnSpPr/>
      </xdr:nvCxnSpPr>
      <xdr:spPr>
        <a:xfrm>
          <a:off x="9227003" y="26479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81361</xdr:colOff>
      <xdr:row>15</xdr:row>
      <xdr:rowOff>27590</xdr:rowOff>
    </xdr:from>
    <xdr:to>
      <xdr:col>33</xdr:col>
      <xdr:colOff>101772</xdr:colOff>
      <xdr:row>15</xdr:row>
      <xdr:rowOff>141890</xdr:rowOff>
    </xdr:to>
    <xdr:sp macro="" textlink="">
      <xdr:nvSpPr>
        <xdr:cNvPr id="1578" name="직사각형 1577"/>
        <xdr:cNvSpPr/>
      </xdr:nvSpPr>
      <xdr:spPr>
        <a:xfrm>
          <a:off x="9369878" y="24384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33</xdr:col>
      <xdr:colOff>81361</xdr:colOff>
      <xdr:row>15</xdr:row>
      <xdr:rowOff>84740</xdr:rowOff>
    </xdr:from>
    <xdr:to>
      <xdr:col>33</xdr:col>
      <xdr:colOff>101772</xdr:colOff>
      <xdr:row>15</xdr:row>
      <xdr:rowOff>84740</xdr:rowOff>
    </xdr:to>
    <xdr:cxnSp macro="">
      <xdr:nvCxnSpPr>
        <xdr:cNvPr id="1579" name="직선 화살표 연결선 1578"/>
        <xdr:cNvCxnSpPr/>
      </xdr:nvCxnSpPr>
      <xdr:spPr>
        <a:xfrm>
          <a:off x="9369878" y="2495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1360</xdr:colOff>
      <xdr:row>14</xdr:row>
      <xdr:rowOff>26276</xdr:rowOff>
    </xdr:from>
    <xdr:to>
      <xdr:col>32</xdr:col>
      <xdr:colOff>21771</xdr:colOff>
      <xdr:row>14</xdr:row>
      <xdr:rowOff>140576</xdr:rowOff>
    </xdr:to>
    <xdr:sp macro="" textlink="">
      <xdr:nvSpPr>
        <xdr:cNvPr id="1580" name="직사각형 1579"/>
        <xdr:cNvSpPr/>
      </xdr:nvSpPr>
      <xdr:spPr>
        <a:xfrm>
          <a:off x="9145360" y="2286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32</xdr:col>
      <xdr:colOff>1360</xdr:colOff>
      <xdr:row>14</xdr:row>
      <xdr:rowOff>83426</xdr:rowOff>
    </xdr:from>
    <xdr:to>
      <xdr:col>32</xdr:col>
      <xdr:colOff>21771</xdr:colOff>
      <xdr:row>14</xdr:row>
      <xdr:rowOff>83426</xdr:rowOff>
    </xdr:to>
    <xdr:cxnSp macro="">
      <xdr:nvCxnSpPr>
        <xdr:cNvPr id="1581" name="직선 화살표 연결선 1580"/>
        <xdr:cNvCxnSpPr/>
      </xdr:nvCxnSpPr>
      <xdr:spPr>
        <a:xfrm>
          <a:off x="9145360" y="2343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4644</xdr:colOff>
      <xdr:row>13</xdr:row>
      <xdr:rowOff>24962</xdr:rowOff>
    </xdr:from>
    <xdr:to>
      <xdr:col>30</xdr:col>
      <xdr:colOff>25055</xdr:colOff>
      <xdr:row>13</xdr:row>
      <xdr:rowOff>139262</xdr:rowOff>
    </xdr:to>
    <xdr:sp macro="" textlink="">
      <xdr:nvSpPr>
        <xdr:cNvPr id="1582" name="직사각형 1581"/>
        <xdr:cNvSpPr/>
      </xdr:nvSpPr>
      <xdr:spPr>
        <a:xfrm>
          <a:off x="8859610" y="2133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30</xdr:col>
      <xdr:colOff>4644</xdr:colOff>
      <xdr:row>13</xdr:row>
      <xdr:rowOff>82112</xdr:rowOff>
    </xdr:from>
    <xdr:to>
      <xdr:col>30</xdr:col>
      <xdr:colOff>25055</xdr:colOff>
      <xdr:row>13</xdr:row>
      <xdr:rowOff>82112</xdr:rowOff>
    </xdr:to>
    <xdr:cxnSp macro="">
      <xdr:nvCxnSpPr>
        <xdr:cNvPr id="1583" name="직선 화살표 연결선 1582"/>
        <xdr:cNvCxnSpPr/>
      </xdr:nvCxnSpPr>
      <xdr:spPr>
        <a:xfrm>
          <a:off x="8859610" y="2190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3002</xdr:colOff>
      <xdr:row>12</xdr:row>
      <xdr:rowOff>23648</xdr:rowOff>
    </xdr:from>
    <xdr:to>
      <xdr:col>31</xdr:col>
      <xdr:colOff>23413</xdr:colOff>
      <xdr:row>12</xdr:row>
      <xdr:rowOff>137948</xdr:rowOff>
    </xdr:to>
    <xdr:sp macro="" textlink="">
      <xdr:nvSpPr>
        <xdr:cNvPr id="1584" name="직사각형 1583"/>
        <xdr:cNvSpPr/>
      </xdr:nvSpPr>
      <xdr:spPr>
        <a:xfrm>
          <a:off x="9002485" y="1981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31</xdr:col>
      <xdr:colOff>3002</xdr:colOff>
      <xdr:row>12</xdr:row>
      <xdr:rowOff>80798</xdr:rowOff>
    </xdr:from>
    <xdr:to>
      <xdr:col>31</xdr:col>
      <xdr:colOff>23413</xdr:colOff>
      <xdr:row>12</xdr:row>
      <xdr:rowOff>80798</xdr:rowOff>
    </xdr:to>
    <xdr:cxnSp macro="">
      <xdr:nvCxnSpPr>
        <xdr:cNvPr id="1585" name="직선 화살표 연결선 1584"/>
        <xdr:cNvCxnSpPr/>
      </xdr:nvCxnSpPr>
      <xdr:spPr>
        <a:xfrm>
          <a:off x="9002485" y="2038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4644</xdr:colOff>
      <xdr:row>11</xdr:row>
      <xdr:rowOff>22334</xdr:rowOff>
    </xdr:from>
    <xdr:to>
      <xdr:col>30</xdr:col>
      <xdr:colOff>25055</xdr:colOff>
      <xdr:row>11</xdr:row>
      <xdr:rowOff>136634</xdr:rowOff>
    </xdr:to>
    <xdr:sp macro="" textlink="">
      <xdr:nvSpPr>
        <xdr:cNvPr id="1586" name="직사각형 1585"/>
        <xdr:cNvSpPr/>
      </xdr:nvSpPr>
      <xdr:spPr>
        <a:xfrm>
          <a:off x="8859610" y="1828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30</xdr:col>
      <xdr:colOff>4644</xdr:colOff>
      <xdr:row>11</xdr:row>
      <xdr:rowOff>79484</xdr:rowOff>
    </xdr:from>
    <xdr:to>
      <xdr:col>30</xdr:col>
      <xdr:colOff>25055</xdr:colOff>
      <xdr:row>11</xdr:row>
      <xdr:rowOff>79484</xdr:rowOff>
    </xdr:to>
    <xdr:cxnSp macro="">
      <xdr:nvCxnSpPr>
        <xdr:cNvPr id="1587" name="직선 화살표 연결선 1586"/>
        <xdr:cNvCxnSpPr/>
      </xdr:nvCxnSpPr>
      <xdr:spPr>
        <a:xfrm>
          <a:off x="8859610" y="1885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6287</xdr:colOff>
      <xdr:row>10</xdr:row>
      <xdr:rowOff>21021</xdr:rowOff>
    </xdr:from>
    <xdr:to>
      <xdr:col>29</xdr:col>
      <xdr:colOff>26698</xdr:colOff>
      <xdr:row>10</xdr:row>
      <xdr:rowOff>135321</xdr:rowOff>
    </xdr:to>
    <xdr:sp macro="" textlink="">
      <xdr:nvSpPr>
        <xdr:cNvPr id="1588" name="직사각형 1587"/>
        <xdr:cNvSpPr/>
      </xdr:nvSpPr>
      <xdr:spPr>
        <a:xfrm>
          <a:off x="8716735" y="16764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29</xdr:col>
      <xdr:colOff>6287</xdr:colOff>
      <xdr:row>10</xdr:row>
      <xdr:rowOff>78171</xdr:rowOff>
    </xdr:from>
    <xdr:to>
      <xdr:col>29</xdr:col>
      <xdr:colOff>26698</xdr:colOff>
      <xdr:row>10</xdr:row>
      <xdr:rowOff>78171</xdr:rowOff>
    </xdr:to>
    <xdr:cxnSp macro="">
      <xdr:nvCxnSpPr>
        <xdr:cNvPr id="1589" name="직선 화살표 연결선 1588"/>
        <xdr:cNvCxnSpPr/>
      </xdr:nvCxnSpPr>
      <xdr:spPr>
        <a:xfrm>
          <a:off x="8716735" y="1733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6287</xdr:colOff>
      <xdr:row>9</xdr:row>
      <xdr:rowOff>19707</xdr:rowOff>
    </xdr:from>
    <xdr:to>
      <xdr:col>33</xdr:col>
      <xdr:colOff>101772</xdr:colOff>
      <xdr:row>9</xdr:row>
      <xdr:rowOff>134007</xdr:rowOff>
    </xdr:to>
    <xdr:sp macro="" textlink="">
      <xdr:nvSpPr>
        <xdr:cNvPr id="1590" name="직사각형 1589"/>
        <xdr:cNvSpPr/>
      </xdr:nvSpPr>
      <xdr:spPr>
        <a:xfrm>
          <a:off x="8716735" y="15240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29</xdr:col>
      <xdr:colOff>6287</xdr:colOff>
      <xdr:row>9</xdr:row>
      <xdr:rowOff>76857</xdr:rowOff>
    </xdr:from>
    <xdr:to>
      <xdr:col>33</xdr:col>
      <xdr:colOff>101772</xdr:colOff>
      <xdr:row>9</xdr:row>
      <xdr:rowOff>76857</xdr:rowOff>
    </xdr:to>
    <xdr:cxnSp macro="">
      <xdr:nvCxnSpPr>
        <xdr:cNvPr id="1591" name="직선 화살표 연결선 1590"/>
        <xdr:cNvCxnSpPr/>
      </xdr:nvCxnSpPr>
      <xdr:spPr>
        <a:xfrm>
          <a:off x="8716735" y="15811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28340</xdr:colOff>
      <xdr:row>8</xdr:row>
      <xdr:rowOff>18393</xdr:rowOff>
    </xdr:from>
    <xdr:to>
      <xdr:col>28</xdr:col>
      <xdr:colOff>69162</xdr:colOff>
      <xdr:row>8</xdr:row>
      <xdr:rowOff>132693</xdr:rowOff>
    </xdr:to>
    <xdr:sp macro="" textlink="">
      <xdr:nvSpPr>
        <xdr:cNvPr id="1592" name="직사각형 1591"/>
        <xdr:cNvSpPr/>
      </xdr:nvSpPr>
      <xdr:spPr>
        <a:xfrm>
          <a:off x="8594271" y="1371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28340</xdr:colOff>
      <xdr:row>8</xdr:row>
      <xdr:rowOff>75543</xdr:rowOff>
    </xdr:from>
    <xdr:to>
      <xdr:col>28</xdr:col>
      <xdr:colOff>69162</xdr:colOff>
      <xdr:row>8</xdr:row>
      <xdr:rowOff>75543</xdr:rowOff>
    </xdr:to>
    <xdr:cxnSp macro="">
      <xdr:nvCxnSpPr>
        <xdr:cNvPr id="1593" name="직선 화살표 연결선 1592"/>
        <xdr:cNvCxnSpPr/>
      </xdr:nvCxnSpPr>
      <xdr:spPr>
        <a:xfrm>
          <a:off x="8594271" y="1428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28340</xdr:colOff>
      <xdr:row>7</xdr:row>
      <xdr:rowOff>17079</xdr:rowOff>
    </xdr:from>
    <xdr:to>
      <xdr:col>28</xdr:col>
      <xdr:colOff>69162</xdr:colOff>
      <xdr:row>7</xdr:row>
      <xdr:rowOff>131379</xdr:rowOff>
    </xdr:to>
    <xdr:sp macro="" textlink="">
      <xdr:nvSpPr>
        <xdr:cNvPr id="1594" name="직사각형 1593"/>
        <xdr:cNvSpPr/>
      </xdr:nvSpPr>
      <xdr:spPr>
        <a:xfrm>
          <a:off x="8594271" y="12192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28340</xdr:colOff>
      <xdr:row>7</xdr:row>
      <xdr:rowOff>74229</xdr:rowOff>
    </xdr:from>
    <xdr:to>
      <xdr:col>28</xdr:col>
      <xdr:colOff>69162</xdr:colOff>
      <xdr:row>7</xdr:row>
      <xdr:rowOff>74229</xdr:rowOff>
    </xdr:to>
    <xdr:cxnSp macro="">
      <xdr:nvCxnSpPr>
        <xdr:cNvPr id="1595" name="직선 화살표 연결선 1594"/>
        <xdr:cNvCxnSpPr/>
      </xdr:nvCxnSpPr>
      <xdr:spPr>
        <a:xfrm>
          <a:off x="8594271" y="1276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7929</xdr:colOff>
      <xdr:row>6</xdr:row>
      <xdr:rowOff>15766</xdr:rowOff>
    </xdr:from>
    <xdr:to>
      <xdr:col>28</xdr:col>
      <xdr:colOff>48750</xdr:colOff>
      <xdr:row>6</xdr:row>
      <xdr:rowOff>130066</xdr:rowOff>
    </xdr:to>
    <xdr:sp macro="" textlink="">
      <xdr:nvSpPr>
        <xdr:cNvPr id="1596" name="직사각형 1595"/>
        <xdr:cNvSpPr/>
      </xdr:nvSpPr>
      <xdr:spPr>
        <a:xfrm>
          <a:off x="8573860" y="10668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7929</xdr:colOff>
      <xdr:row>6</xdr:row>
      <xdr:rowOff>72916</xdr:rowOff>
    </xdr:from>
    <xdr:to>
      <xdr:col>28</xdr:col>
      <xdr:colOff>48750</xdr:colOff>
      <xdr:row>6</xdr:row>
      <xdr:rowOff>72916</xdr:rowOff>
    </xdr:to>
    <xdr:cxnSp macro="">
      <xdr:nvCxnSpPr>
        <xdr:cNvPr id="1597" name="직선 화살표 연결선 1596"/>
        <xdr:cNvCxnSpPr/>
      </xdr:nvCxnSpPr>
      <xdr:spPr>
        <a:xfrm>
          <a:off x="8573860" y="11239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7929</xdr:colOff>
      <xdr:row>5</xdr:row>
      <xdr:rowOff>14452</xdr:rowOff>
    </xdr:from>
    <xdr:to>
      <xdr:col>28</xdr:col>
      <xdr:colOff>69162</xdr:colOff>
      <xdr:row>5</xdr:row>
      <xdr:rowOff>128752</xdr:rowOff>
    </xdr:to>
    <xdr:sp macro="" textlink="">
      <xdr:nvSpPr>
        <xdr:cNvPr id="1598" name="직사각형 1597"/>
        <xdr:cNvSpPr/>
      </xdr:nvSpPr>
      <xdr:spPr>
        <a:xfrm>
          <a:off x="8573860" y="9144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7929</xdr:colOff>
      <xdr:row>5</xdr:row>
      <xdr:rowOff>71602</xdr:rowOff>
    </xdr:from>
    <xdr:to>
      <xdr:col>28</xdr:col>
      <xdr:colOff>69162</xdr:colOff>
      <xdr:row>5</xdr:row>
      <xdr:rowOff>71602</xdr:rowOff>
    </xdr:to>
    <xdr:cxnSp macro="">
      <xdr:nvCxnSpPr>
        <xdr:cNvPr id="1599" name="직선 화살표 연결선 1598"/>
        <xdr:cNvCxnSpPr/>
      </xdr:nvCxnSpPr>
      <xdr:spPr>
        <a:xfrm>
          <a:off x="8573860" y="9715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7929</xdr:colOff>
      <xdr:row>4</xdr:row>
      <xdr:rowOff>13138</xdr:rowOff>
    </xdr:from>
    <xdr:to>
      <xdr:col>33</xdr:col>
      <xdr:colOff>101772</xdr:colOff>
      <xdr:row>4</xdr:row>
      <xdr:rowOff>127438</xdr:rowOff>
    </xdr:to>
    <xdr:sp macro="" textlink="">
      <xdr:nvSpPr>
        <xdr:cNvPr id="1600" name="직사각형 1599"/>
        <xdr:cNvSpPr/>
      </xdr:nvSpPr>
      <xdr:spPr>
        <a:xfrm>
          <a:off x="8573860" y="762000"/>
          <a:ext cx="816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ko-KR" altLang="en-US" sz="1100"/>
        </a:p>
      </xdr:txBody>
    </xdr:sp>
    <xdr:clientData/>
  </xdr:twoCellAnchor>
  <xdr:twoCellAnchor>
    <xdr:from>
      <xdr:col>28</xdr:col>
      <xdr:colOff>7929</xdr:colOff>
      <xdr:row>4</xdr:row>
      <xdr:rowOff>70288</xdr:rowOff>
    </xdr:from>
    <xdr:to>
      <xdr:col>33</xdr:col>
      <xdr:colOff>101772</xdr:colOff>
      <xdr:row>4</xdr:row>
      <xdr:rowOff>70288</xdr:rowOff>
    </xdr:to>
    <xdr:cxnSp macro="">
      <xdr:nvCxnSpPr>
        <xdr:cNvPr id="1601" name="직선 화살표 연결선 1600"/>
        <xdr:cNvCxnSpPr/>
      </xdr:nvCxnSpPr>
      <xdr:spPr>
        <a:xfrm>
          <a:off x="8573860" y="819150"/>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163892</xdr:colOff>
      <xdr:row>5</xdr:row>
      <xdr:rowOff>2899</xdr:rowOff>
    </xdr:from>
    <xdr:to>
      <xdr:col>12</xdr:col>
      <xdr:colOff>561457</xdr:colOff>
      <xdr:row>18</xdr:row>
      <xdr:rowOff>77442</xdr:rowOff>
    </xdr:to>
    <xdr:graphicFrame macro="">
      <xdr:nvGraphicFramePr>
        <xdr:cNvPr id="4" name="차트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985</v>
      </c>
      <c r="C8" s="101" t="s">
        <v>1151</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1127</v>
      </c>
      <c r="D11" s="99" t="s">
        <v>26</v>
      </c>
      <c r="E11" s="108">
        <v>1</v>
      </c>
      <c r="F11" s="109" t="s">
        <v>27</v>
      </c>
      <c r="G11" s="110">
        <v>43724</v>
      </c>
      <c r="H11" s="109" t="s">
        <v>28</v>
      </c>
      <c r="I11" s="110">
        <v>43763</v>
      </c>
      <c r="J11" s="102" t="s">
        <v>418</v>
      </c>
      <c r="K11" s="102" t="s">
        <v>1152</v>
      </c>
      <c r="L11" s="102" t="s">
        <v>415</v>
      </c>
      <c r="M11" s="102">
        <v>0</v>
      </c>
      <c r="N11" s="107" t="s">
        <v>29</v>
      </c>
      <c r="O11" s="99">
        <v>0</v>
      </c>
      <c r="P11" s="99" t="s">
        <v>30</v>
      </c>
      <c r="Q11" s="107" t="s">
        <v>1128</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982</v>
      </c>
      <c r="AE12" s="102">
        <v>1</v>
      </c>
    </row>
    <row r="13" spans="1:64">
      <c r="A13" s="101" t="s">
        <v>402</v>
      </c>
      <c r="B13" s="107" t="s">
        <v>31</v>
      </c>
      <c r="C13" s="99">
        <v>1</v>
      </c>
      <c r="D13" s="107" t="s">
        <v>32</v>
      </c>
      <c r="E13" s="99" t="s">
        <v>1129</v>
      </c>
      <c r="F13" s="99" t="s">
        <v>33</v>
      </c>
      <c r="G13" s="109" t="s">
        <v>1130</v>
      </c>
      <c r="H13" s="109" t="s">
        <v>34</v>
      </c>
      <c r="I13" s="102" t="s">
        <v>1027</v>
      </c>
    </row>
    <row r="14" spans="1:64">
      <c r="A14" s="101" t="s">
        <v>403</v>
      </c>
      <c r="B14" s="108" t="s">
        <v>35</v>
      </c>
      <c r="C14" s="108" t="s">
        <v>1131</v>
      </c>
      <c r="D14" s="108" t="s">
        <v>36</v>
      </c>
      <c r="E14" s="108" t="s">
        <v>1132</v>
      </c>
      <c r="F14" s="108" t="s">
        <v>37</v>
      </c>
      <c r="G14" s="108" t="s">
        <v>1133</v>
      </c>
      <c r="H14" s="108" t="s">
        <v>38</v>
      </c>
      <c r="I14" s="108" t="b">
        <v>0</v>
      </c>
      <c r="J14" s="108" t="s">
        <v>39</v>
      </c>
      <c r="K14" s="108" t="s">
        <v>1134</v>
      </c>
      <c r="L14" s="108" t="s">
        <v>40</v>
      </c>
      <c r="M14" s="108" t="s">
        <v>1135</v>
      </c>
      <c r="N14" s="108" t="s">
        <v>41</v>
      </c>
      <c r="O14" s="108" t="s">
        <v>1133</v>
      </c>
      <c r="P14" s="108" t="s">
        <v>42</v>
      </c>
      <c r="Q14" s="108" t="b">
        <v>0</v>
      </c>
      <c r="R14" s="108" t="s">
        <v>43</v>
      </c>
      <c r="S14" s="108" t="s">
        <v>1136</v>
      </c>
      <c r="T14" s="108" t="s">
        <v>44</v>
      </c>
      <c r="U14" s="108" t="s">
        <v>1137</v>
      </c>
      <c r="V14" s="108" t="s">
        <v>45</v>
      </c>
      <c r="W14" s="108" t="s">
        <v>1133</v>
      </c>
      <c r="X14" s="108" t="s">
        <v>46</v>
      </c>
      <c r="Y14" s="108" t="b">
        <v>1</v>
      </c>
      <c r="Z14" s="108" t="s">
        <v>47</v>
      </c>
      <c r="AA14" s="108" t="s">
        <v>1138</v>
      </c>
      <c r="AB14" s="108" t="s">
        <v>48</v>
      </c>
      <c r="AC14" s="108" t="s">
        <v>1139</v>
      </c>
      <c r="AD14" s="108" t="s">
        <v>49</v>
      </c>
      <c r="AE14" s="108" t="s">
        <v>1140</v>
      </c>
      <c r="AF14" s="108" t="s">
        <v>50</v>
      </c>
      <c r="AG14" s="108" t="b">
        <v>1</v>
      </c>
      <c r="AH14" s="108" t="s">
        <v>51</v>
      </c>
      <c r="AI14" s="108" t="s">
        <v>1141</v>
      </c>
      <c r="AJ14" s="108" t="s">
        <v>52</v>
      </c>
      <c r="AK14" s="108" t="s">
        <v>1142</v>
      </c>
      <c r="AL14" s="108" t="s">
        <v>53</v>
      </c>
      <c r="AM14" s="108" t="s">
        <v>1143</v>
      </c>
      <c r="AN14" s="108" t="s">
        <v>54</v>
      </c>
      <c r="AO14" s="108" t="b">
        <v>0</v>
      </c>
      <c r="AP14" s="108" t="s">
        <v>55</v>
      </c>
      <c r="AQ14" s="108" t="s">
        <v>1144</v>
      </c>
      <c r="AR14" s="108" t="s">
        <v>56</v>
      </c>
      <c r="AS14" s="108" t="s">
        <v>1145</v>
      </c>
      <c r="AT14" s="108" t="s">
        <v>57</v>
      </c>
      <c r="AU14" s="108" t="s">
        <v>1146</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1148</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5"/>
  <dimension ref="A1:F435"/>
  <sheetViews>
    <sheetView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928</v>
      </c>
      <c r="B1" s="124" t="s">
        <v>929</v>
      </c>
      <c r="C1" s="125" t="s">
        <v>930</v>
      </c>
      <c r="D1" s="125" t="s">
        <v>67</v>
      </c>
      <c r="E1" s="125" t="s">
        <v>68</v>
      </c>
    </row>
    <row r="2" spans="1:5" ht="60">
      <c r="A2" s="126" t="s">
        <v>1147</v>
      </c>
      <c r="B2" s="139">
        <v>1</v>
      </c>
      <c r="D2" s="127" t="s">
        <v>931</v>
      </c>
      <c r="E2" s="140" t="s">
        <v>605</v>
      </c>
    </row>
    <row r="3" spans="1:5" ht="112.5" customHeight="1">
      <c r="A3" s="128">
        <v>450</v>
      </c>
      <c r="B3" s="139">
        <v>2</v>
      </c>
      <c r="D3" s="127" t="s">
        <v>531</v>
      </c>
      <c r="E3" s="140" t="s">
        <v>932</v>
      </c>
    </row>
    <row r="4" spans="1:5" ht="48">
      <c r="B4" s="139">
        <v>3</v>
      </c>
      <c r="D4" s="127" t="s">
        <v>933</v>
      </c>
      <c r="E4" s="140" t="s">
        <v>606</v>
      </c>
    </row>
    <row r="5" spans="1:5" ht="48">
      <c r="B5" s="139">
        <v>4</v>
      </c>
      <c r="D5" s="127" t="s">
        <v>934</v>
      </c>
      <c r="E5" s="140" t="s">
        <v>607</v>
      </c>
    </row>
    <row r="6" spans="1:5" ht="60">
      <c r="B6" s="139">
        <v>5</v>
      </c>
      <c r="D6" s="127" t="s">
        <v>935</v>
      </c>
      <c r="E6" s="140" t="s">
        <v>608</v>
      </c>
    </row>
    <row r="7" spans="1:5" ht="36">
      <c r="B7" s="139">
        <v>6</v>
      </c>
      <c r="D7" s="127" t="s">
        <v>936</v>
      </c>
      <c r="E7" s="140" t="s">
        <v>609</v>
      </c>
    </row>
    <row r="8" spans="1:5">
      <c r="B8" s="139">
        <v>7</v>
      </c>
      <c r="D8" s="127" t="s">
        <v>922</v>
      </c>
      <c r="E8" s="140" t="s">
        <v>937</v>
      </c>
    </row>
    <row r="9" spans="1:5">
      <c r="B9" s="139">
        <v>101</v>
      </c>
      <c r="D9" s="127" t="s">
        <v>69</v>
      </c>
      <c r="E9" s="140" t="s">
        <v>610</v>
      </c>
    </row>
    <row r="10" spans="1:5">
      <c r="B10" s="139">
        <v>102</v>
      </c>
      <c r="D10" s="127" t="s">
        <v>70</v>
      </c>
      <c r="E10" s="140" t="s">
        <v>611</v>
      </c>
    </row>
    <row r="11" spans="1:5">
      <c r="B11" s="139">
        <v>103</v>
      </c>
      <c r="D11" s="127" t="s">
        <v>71</v>
      </c>
      <c r="E11" s="140" t="s">
        <v>612</v>
      </c>
    </row>
    <row r="12" spans="1:5">
      <c r="B12" s="139">
        <v>104</v>
      </c>
      <c r="D12" s="127" t="s">
        <v>72</v>
      </c>
      <c r="E12" s="140" t="s">
        <v>613</v>
      </c>
    </row>
    <row r="13" spans="1:5">
      <c r="B13" s="139">
        <v>105</v>
      </c>
      <c r="D13" s="127" t="s">
        <v>73</v>
      </c>
      <c r="E13" s="140" t="s">
        <v>614</v>
      </c>
    </row>
    <row r="14" spans="1:5">
      <c r="B14" s="139">
        <v>106</v>
      </c>
      <c r="D14" s="127" t="s">
        <v>449</v>
      </c>
      <c r="E14" s="140" t="s">
        <v>615</v>
      </c>
    </row>
    <row r="15" spans="1:5" ht="36">
      <c r="B15" s="139">
        <v>107</v>
      </c>
      <c r="D15" s="127" t="s">
        <v>450</v>
      </c>
      <c r="E15" s="140" t="s">
        <v>616</v>
      </c>
    </row>
    <row r="16" spans="1:5" ht="36">
      <c r="B16" s="139">
        <v>108</v>
      </c>
      <c r="D16" s="127" t="s">
        <v>451</v>
      </c>
      <c r="E16" s="140" t="s">
        <v>617</v>
      </c>
    </row>
    <row r="17" spans="1:6">
      <c r="B17" s="139">
        <v>109</v>
      </c>
      <c r="D17" s="127" t="s">
        <v>74</v>
      </c>
      <c r="E17" s="140" t="s">
        <v>535</v>
      </c>
    </row>
    <row r="18" spans="1:6">
      <c r="B18" s="139">
        <v>110</v>
      </c>
      <c r="D18" s="127" t="s">
        <v>75</v>
      </c>
      <c r="E18" s="140" t="s">
        <v>618</v>
      </c>
    </row>
    <row r="19" spans="1:6">
      <c r="B19" s="139">
        <v>111</v>
      </c>
      <c r="D19" s="127" t="s">
        <v>76</v>
      </c>
      <c r="E19" s="140" t="s">
        <v>619</v>
      </c>
    </row>
    <row r="20" spans="1:6">
      <c r="A20" s="129"/>
      <c r="B20" s="139">
        <v>112</v>
      </c>
      <c r="C20" s="138" t="s">
        <v>938</v>
      </c>
      <c r="D20" s="128" t="s">
        <v>939</v>
      </c>
      <c r="E20" s="128" t="s">
        <v>533</v>
      </c>
      <c r="F20" s="130"/>
    </row>
    <row r="21" spans="1:6">
      <c r="B21" s="139">
        <v>113</v>
      </c>
      <c r="D21" s="127" t="s">
        <v>77</v>
      </c>
      <c r="E21" s="140" t="s">
        <v>536</v>
      </c>
    </row>
    <row r="22" spans="1:6">
      <c r="B22" s="139">
        <v>114</v>
      </c>
      <c r="D22" s="127" t="s">
        <v>78</v>
      </c>
      <c r="E22" s="140" t="s">
        <v>620</v>
      </c>
    </row>
    <row r="23" spans="1:6">
      <c r="B23" s="139">
        <v>115</v>
      </c>
      <c r="D23" s="127" t="s">
        <v>79</v>
      </c>
      <c r="E23" s="140" t="s">
        <v>621</v>
      </c>
    </row>
    <row r="24" spans="1:6" ht="24">
      <c r="B24" s="139">
        <v>116</v>
      </c>
      <c r="D24" s="127" t="s">
        <v>452</v>
      </c>
      <c r="E24" s="140" t="s">
        <v>622</v>
      </c>
    </row>
    <row r="25" spans="1:6">
      <c r="B25" s="139">
        <v>117</v>
      </c>
      <c r="D25" s="127" t="s">
        <v>453</v>
      </c>
      <c r="E25" s="140" t="s">
        <v>623</v>
      </c>
    </row>
    <row r="26" spans="1:6" ht="24">
      <c r="B26" s="139">
        <v>118</v>
      </c>
      <c r="D26" s="127" t="s">
        <v>80</v>
      </c>
      <c r="E26" s="140" t="s">
        <v>624</v>
      </c>
    </row>
    <row r="27" spans="1:6">
      <c r="B27" s="139">
        <v>119</v>
      </c>
      <c r="D27" s="127" t="s">
        <v>81</v>
      </c>
      <c r="E27" s="140" t="s">
        <v>625</v>
      </c>
    </row>
    <row r="28" spans="1:6">
      <c r="B28" s="139">
        <v>120</v>
      </c>
      <c r="D28" s="127" t="s">
        <v>447</v>
      </c>
      <c r="E28" s="140" t="s">
        <v>626</v>
      </c>
    </row>
    <row r="29" spans="1:6">
      <c r="B29" s="139">
        <v>121</v>
      </c>
      <c r="D29" s="127" t="s">
        <v>82</v>
      </c>
      <c r="E29" s="140" t="s">
        <v>627</v>
      </c>
    </row>
    <row r="30" spans="1:6">
      <c r="B30" s="139">
        <v>122</v>
      </c>
      <c r="D30" s="127" t="s">
        <v>83</v>
      </c>
      <c r="E30" s="140" t="s">
        <v>628</v>
      </c>
    </row>
    <row r="31" spans="1:6">
      <c r="B31" s="139">
        <v>123</v>
      </c>
      <c r="D31" s="127" t="s">
        <v>84</v>
      </c>
      <c r="E31" s="140" t="s">
        <v>629</v>
      </c>
    </row>
    <row r="32" spans="1:6">
      <c r="B32" s="139">
        <v>124</v>
      </c>
      <c r="D32" s="127" t="s">
        <v>85</v>
      </c>
      <c r="E32" s="140" t="s">
        <v>630</v>
      </c>
    </row>
    <row r="33" spans="2:5" ht="24">
      <c r="B33" s="139">
        <v>125</v>
      </c>
      <c r="D33" s="127" t="s">
        <v>448</v>
      </c>
      <c r="E33" s="140" t="s">
        <v>631</v>
      </c>
    </row>
    <row r="34" spans="2:5">
      <c r="B34" s="139">
        <v>126</v>
      </c>
      <c r="D34" s="127" t="s">
        <v>86</v>
      </c>
      <c r="E34" s="140" t="s">
        <v>632</v>
      </c>
    </row>
    <row r="35" spans="2:5">
      <c r="B35" s="139">
        <v>127</v>
      </c>
      <c r="D35" s="127" t="s">
        <v>87</v>
      </c>
      <c r="E35" s="140" t="s">
        <v>633</v>
      </c>
    </row>
    <row r="36" spans="2:5">
      <c r="B36" s="139">
        <v>128</v>
      </c>
      <c r="D36" s="127" t="s">
        <v>454</v>
      </c>
      <c r="E36" s="140" t="s">
        <v>634</v>
      </c>
    </row>
    <row r="37" spans="2:5">
      <c r="B37" s="139">
        <v>129</v>
      </c>
      <c r="D37" s="127" t="s">
        <v>88</v>
      </c>
      <c r="E37" s="140" t="s">
        <v>635</v>
      </c>
    </row>
    <row r="38" spans="2:5">
      <c r="B38" s="139">
        <v>130</v>
      </c>
      <c r="D38" s="127" t="s">
        <v>89</v>
      </c>
      <c r="E38" s="140" t="s">
        <v>537</v>
      </c>
    </row>
    <row r="39" spans="2:5">
      <c r="B39" s="139">
        <v>131</v>
      </c>
      <c r="D39" s="127" t="s">
        <v>90</v>
      </c>
      <c r="E39" s="140" t="s">
        <v>538</v>
      </c>
    </row>
    <row r="40" spans="2:5">
      <c r="B40" s="139">
        <v>132</v>
      </c>
      <c r="D40" s="132" t="s">
        <v>455</v>
      </c>
      <c r="E40" s="133">
        <v>43435</v>
      </c>
    </row>
    <row r="41" spans="2:5">
      <c r="B41" s="139">
        <v>133</v>
      </c>
      <c r="D41" s="132" t="s">
        <v>455</v>
      </c>
      <c r="E41" s="133">
        <v>43435</v>
      </c>
    </row>
    <row r="42" spans="2:5">
      <c r="B42" s="139">
        <v>134</v>
      </c>
      <c r="D42" s="132" t="s">
        <v>456</v>
      </c>
      <c r="E42" s="133">
        <v>43465</v>
      </c>
    </row>
    <row r="43" spans="2:5">
      <c r="B43" s="139">
        <v>135</v>
      </c>
      <c r="D43" s="132" t="s">
        <v>456</v>
      </c>
      <c r="E43" s="133">
        <v>43465</v>
      </c>
    </row>
    <row r="44" spans="2:5">
      <c r="B44" s="139">
        <v>136</v>
      </c>
      <c r="D44" s="127" t="s">
        <v>91</v>
      </c>
      <c r="E44" s="140" t="s">
        <v>91</v>
      </c>
    </row>
    <row r="45" spans="2:5">
      <c r="B45" s="139">
        <v>137</v>
      </c>
      <c r="D45" s="127" t="s">
        <v>92</v>
      </c>
      <c r="E45" s="140" t="s">
        <v>636</v>
      </c>
    </row>
    <row r="46" spans="2:5">
      <c r="B46" s="139">
        <v>138</v>
      </c>
      <c r="C46" s="136" t="s">
        <v>940</v>
      </c>
      <c r="D46" s="127" t="s">
        <v>941</v>
      </c>
      <c r="E46" s="166" t="s">
        <v>942</v>
      </c>
    </row>
    <row r="47" spans="2:5">
      <c r="B47" s="139">
        <v>139</v>
      </c>
      <c r="D47" s="127" t="s">
        <v>93</v>
      </c>
      <c r="E47" s="140" t="s">
        <v>637</v>
      </c>
    </row>
    <row r="48" spans="2:5">
      <c r="B48" s="139">
        <v>140</v>
      </c>
      <c r="D48" s="127" t="s">
        <v>94</v>
      </c>
      <c r="E48" s="140" t="s">
        <v>638</v>
      </c>
    </row>
    <row r="49" spans="1:6">
      <c r="B49" s="139">
        <v>141</v>
      </c>
      <c r="D49" s="127" t="s">
        <v>457</v>
      </c>
      <c r="E49" s="140" t="s">
        <v>539</v>
      </c>
    </row>
    <row r="50" spans="1:6">
      <c r="B50" s="139">
        <v>142</v>
      </c>
      <c r="D50" s="127" t="s">
        <v>95</v>
      </c>
      <c r="E50" s="140" t="s">
        <v>540</v>
      </c>
    </row>
    <row r="51" spans="1:6">
      <c r="B51" s="139">
        <v>143</v>
      </c>
      <c r="D51" s="127" t="s">
        <v>96</v>
      </c>
      <c r="E51" s="140" t="s">
        <v>639</v>
      </c>
    </row>
    <row r="52" spans="1:6">
      <c r="B52" s="139">
        <v>144</v>
      </c>
      <c r="D52" s="127" t="s">
        <v>97</v>
      </c>
      <c r="E52" s="140" t="s">
        <v>640</v>
      </c>
    </row>
    <row r="53" spans="1:6" ht="24">
      <c r="B53" s="139">
        <v>145</v>
      </c>
      <c r="D53" s="127" t="s">
        <v>98</v>
      </c>
      <c r="E53" s="140" t="s">
        <v>641</v>
      </c>
    </row>
    <row r="54" spans="1:6">
      <c r="B54" s="139">
        <v>146</v>
      </c>
      <c r="D54" s="127" t="s">
        <v>99</v>
      </c>
      <c r="E54" s="140" t="s">
        <v>642</v>
      </c>
    </row>
    <row r="55" spans="1:6">
      <c r="B55" s="139">
        <v>147</v>
      </c>
      <c r="D55" s="127" t="s">
        <v>458</v>
      </c>
      <c r="E55" s="140" t="s">
        <v>541</v>
      </c>
    </row>
    <row r="56" spans="1:6">
      <c r="B56" s="139">
        <v>148</v>
      </c>
      <c r="D56" s="127" t="s">
        <v>100</v>
      </c>
      <c r="E56" s="140" t="s">
        <v>542</v>
      </c>
    </row>
    <row r="57" spans="1:6">
      <c r="B57" s="139">
        <v>149</v>
      </c>
      <c r="D57" s="127" t="s">
        <v>101</v>
      </c>
      <c r="E57" s="140" t="s">
        <v>643</v>
      </c>
    </row>
    <row r="58" spans="1:6">
      <c r="B58" s="139">
        <v>150</v>
      </c>
      <c r="D58" s="127" t="s">
        <v>102</v>
      </c>
      <c r="E58" s="140" t="s">
        <v>644</v>
      </c>
    </row>
    <row r="59" spans="1:6" ht="24">
      <c r="B59" s="139">
        <v>151</v>
      </c>
      <c r="D59" s="127" t="s">
        <v>103</v>
      </c>
      <c r="E59" s="140" t="s">
        <v>645</v>
      </c>
    </row>
    <row r="60" spans="1:6">
      <c r="B60" s="139">
        <v>152</v>
      </c>
      <c r="D60" s="127" t="s">
        <v>459</v>
      </c>
      <c r="E60" s="140" t="s">
        <v>646</v>
      </c>
    </row>
    <row r="61" spans="1:6">
      <c r="A61" s="131"/>
      <c r="B61" s="139">
        <v>153</v>
      </c>
      <c r="C61" s="138" t="s">
        <v>526</v>
      </c>
      <c r="D61" s="128" t="s">
        <v>943</v>
      </c>
      <c r="E61" s="128" t="s">
        <v>944</v>
      </c>
      <c r="F61" s="130"/>
    </row>
    <row r="62" spans="1:6" ht="12.75">
      <c r="B62" s="139">
        <v>154</v>
      </c>
      <c r="D62" s="127" t="s">
        <v>104</v>
      </c>
      <c r="E62" s="168" t="s">
        <v>926</v>
      </c>
    </row>
    <row r="63" spans="1:6" ht="12.75">
      <c r="B63" s="139">
        <v>155</v>
      </c>
      <c r="D63" s="127" t="s">
        <v>105</v>
      </c>
      <c r="E63" s="168" t="s">
        <v>945</v>
      </c>
    </row>
    <row r="64" spans="1:6">
      <c r="A64" s="131"/>
      <c r="B64" s="139">
        <v>156</v>
      </c>
      <c r="C64" s="138" t="s">
        <v>946</v>
      </c>
      <c r="D64" s="128" t="s">
        <v>947</v>
      </c>
      <c r="E64" s="128" t="s">
        <v>948</v>
      </c>
      <c r="F64" s="130"/>
    </row>
    <row r="65" spans="1:6">
      <c r="A65" s="131"/>
      <c r="B65" s="139">
        <v>157</v>
      </c>
      <c r="C65" s="138" t="s">
        <v>526</v>
      </c>
      <c r="D65" s="128" t="s">
        <v>949</v>
      </c>
      <c r="E65" s="128" t="s">
        <v>950</v>
      </c>
      <c r="F65" s="130"/>
    </row>
    <row r="66" spans="1:6">
      <c r="A66" s="131"/>
      <c r="B66" s="139">
        <v>158</v>
      </c>
      <c r="C66" s="138" t="s">
        <v>526</v>
      </c>
      <c r="D66" s="128" t="s">
        <v>951</v>
      </c>
      <c r="E66" s="128" t="s">
        <v>952</v>
      </c>
      <c r="F66" s="130"/>
    </row>
    <row r="67" spans="1:6">
      <c r="A67" s="131"/>
      <c r="B67" s="139">
        <v>159</v>
      </c>
      <c r="C67" s="138" t="s">
        <v>946</v>
      </c>
      <c r="D67" s="128" t="s">
        <v>923</v>
      </c>
      <c r="E67" s="128" t="s">
        <v>953</v>
      </c>
      <c r="F67" s="130"/>
    </row>
    <row r="68" spans="1:6">
      <c r="B68" s="139">
        <v>160</v>
      </c>
      <c r="D68" s="127" t="s">
        <v>106</v>
      </c>
      <c r="E68" s="140" t="s">
        <v>954</v>
      </c>
    </row>
    <row r="69" spans="1:6">
      <c r="B69" s="139">
        <v>161</v>
      </c>
      <c r="D69" s="127" t="s">
        <v>107</v>
      </c>
      <c r="E69" s="140" t="s">
        <v>955</v>
      </c>
    </row>
    <row r="70" spans="1:6">
      <c r="B70" s="139">
        <v>162</v>
      </c>
      <c r="D70" s="127" t="s">
        <v>956</v>
      </c>
      <c r="E70" s="140" t="s">
        <v>924</v>
      </c>
    </row>
    <row r="71" spans="1:6">
      <c r="B71" s="139">
        <v>163</v>
      </c>
      <c r="D71" s="127" t="s">
        <v>108</v>
      </c>
      <c r="E71" s="140" t="s">
        <v>957</v>
      </c>
    </row>
    <row r="72" spans="1:6">
      <c r="B72" s="139">
        <v>164</v>
      </c>
      <c r="D72" s="127" t="s">
        <v>109</v>
      </c>
      <c r="E72" s="140" t="s">
        <v>647</v>
      </c>
    </row>
    <row r="73" spans="1:6">
      <c r="B73" s="139">
        <v>165</v>
      </c>
      <c r="D73" s="127" t="s">
        <v>110</v>
      </c>
      <c r="E73" s="140" t="s">
        <v>648</v>
      </c>
    </row>
    <row r="74" spans="1:6">
      <c r="B74" s="139">
        <v>166</v>
      </c>
      <c r="D74" s="127" t="s">
        <v>111</v>
      </c>
      <c r="E74" s="140" t="s">
        <v>649</v>
      </c>
    </row>
    <row r="75" spans="1:6" ht="24">
      <c r="B75" s="139">
        <v>167</v>
      </c>
      <c r="D75" s="127" t="s">
        <v>112</v>
      </c>
      <c r="E75" s="140" t="s">
        <v>650</v>
      </c>
    </row>
    <row r="76" spans="1:6">
      <c r="B76" s="139">
        <v>168</v>
      </c>
      <c r="D76" s="127" t="s">
        <v>113</v>
      </c>
      <c r="E76" s="140" t="s">
        <v>651</v>
      </c>
    </row>
    <row r="77" spans="1:6">
      <c r="B77" s="139">
        <v>169</v>
      </c>
      <c r="D77" s="127" t="s">
        <v>114</v>
      </c>
      <c r="E77" s="140" t="s">
        <v>652</v>
      </c>
    </row>
    <row r="78" spans="1:6">
      <c r="B78" s="139">
        <v>170</v>
      </c>
      <c r="D78" s="127" t="s">
        <v>115</v>
      </c>
      <c r="E78" s="140" t="s">
        <v>653</v>
      </c>
    </row>
    <row r="79" spans="1:6">
      <c r="B79" s="139">
        <v>171</v>
      </c>
      <c r="D79" s="127" t="s">
        <v>460</v>
      </c>
      <c r="E79" s="140" t="s">
        <v>654</v>
      </c>
    </row>
    <row r="80" spans="1:6">
      <c r="B80" s="139">
        <v>172</v>
      </c>
      <c r="D80" s="127" t="s">
        <v>116</v>
      </c>
      <c r="E80" s="140" t="s">
        <v>655</v>
      </c>
    </row>
    <row r="81" spans="2:5">
      <c r="B81" s="139">
        <v>173</v>
      </c>
      <c r="D81" s="127" t="s">
        <v>117</v>
      </c>
      <c r="E81" s="140" t="s">
        <v>656</v>
      </c>
    </row>
    <row r="82" spans="2:5">
      <c r="B82" s="139">
        <v>174</v>
      </c>
      <c r="D82" s="127" t="s">
        <v>118</v>
      </c>
      <c r="E82" s="140" t="s">
        <v>657</v>
      </c>
    </row>
    <row r="83" spans="2:5">
      <c r="B83" s="139">
        <v>175</v>
      </c>
      <c r="D83" s="127" t="s">
        <v>119</v>
      </c>
      <c r="E83" s="140" t="s">
        <v>658</v>
      </c>
    </row>
    <row r="84" spans="2:5">
      <c r="B84" s="139">
        <v>176</v>
      </c>
      <c r="D84" s="127" t="s">
        <v>120</v>
      </c>
      <c r="E84" s="140" t="s">
        <v>659</v>
      </c>
    </row>
    <row r="85" spans="2:5">
      <c r="B85" s="139">
        <v>177</v>
      </c>
      <c r="D85" s="127" t="s">
        <v>121</v>
      </c>
      <c r="E85" s="140" t="s">
        <v>543</v>
      </c>
    </row>
    <row r="86" spans="2:5">
      <c r="B86" s="139">
        <v>178</v>
      </c>
      <c r="D86" s="127" t="s">
        <v>122</v>
      </c>
      <c r="E86" s="140" t="s">
        <v>544</v>
      </c>
    </row>
    <row r="87" spans="2:5">
      <c r="B87" s="139">
        <v>179</v>
      </c>
      <c r="D87" s="127" t="s">
        <v>123</v>
      </c>
      <c r="E87" s="140" t="s">
        <v>660</v>
      </c>
    </row>
    <row r="88" spans="2:5">
      <c r="B88" s="139">
        <v>180</v>
      </c>
      <c r="D88" s="127" t="s">
        <v>461</v>
      </c>
      <c r="E88" s="140" t="s">
        <v>661</v>
      </c>
    </row>
    <row r="89" spans="2:5" ht="24">
      <c r="B89" s="139">
        <v>181</v>
      </c>
      <c r="D89" s="127" t="s">
        <v>462</v>
      </c>
      <c r="E89" s="140" t="s">
        <v>662</v>
      </c>
    </row>
    <row r="90" spans="2:5" ht="24">
      <c r="B90" s="139">
        <v>182</v>
      </c>
      <c r="D90" s="127" t="s">
        <v>124</v>
      </c>
      <c r="E90" s="140" t="s">
        <v>663</v>
      </c>
    </row>
    <row r="91" spans="2:5">
      <c r="B91" s="139">
        <v>183</v>
      </c>
      <c r="D91" s="127" t="s">
        <v>125</v>
      </c>
      <c r="E91" s="140" t="s">
        <v>126</v>
      </c>
    </row>
    <row r="92" spans="2:5">
      <c r="B92" s="139">
        <v>184</v>
      </c>
      <c r="D92" s="127" t="s">
        <v>463</v>
      </c>
      <c r="E92" s="140" t="s">
        <v>545</v>
      </c>
    </row>
    <row r="93" spans="2:5">
      <c r="B93" s="139">
        <v>185</v>
      </c>
      <c r="D93" s="127" t="s">
        <v>464</v>
      </c>
      <c r="E93" s="140" t="s">
        <v>546</v>
      </c>
    </row>
    <row r="94" spans="2:5">
      <c r="B94" s="139">
        <v>186</v>
      </c>
      <c r="D94" s="127" t="s">
        <v>465</v>
      </c>
      <c r="E94" s="140" t="s">
        <v>958</v>
      </c>
    </row>
    <row r="95" spans="2:5">
      <c r="B95" s="139">
        <v>187</v>
      </c>
      <c r="D95" s="127" t="s">
        <v>127</v>
      </c>
      <c r="E95" s="140" t="s">
        <v>664</v>
      </c>
    </row>
    <row r="96" spans="2:5" ht="24">
      <c r="B96" s="139">
        <v>188</v>
      </c>
      <c r="D96" s="127" t="s">
        <v>128</v>
      </c>
      <c r="E96" s="140" t="s">
        <v>665</v>
      </c>
    </row>
    <row r="97" spans="2:5" ht="24">
      <c r="B97" s="139">
        <v>189</v>
      </c>
      <c r="D97" s="127" t="s">
        <v>129</v>
      </c>
      <c r="E97" s="140" t="s">
        <v>666</v>
      </c>
    </row>
    <row r="98" spans="2:5">
      <c r="B98" s="139">
        <v>190</v>
      </c>
      <c r="D98" s="127" t="s">
        <v>130</v>
      </c>
      <c r="E98" s="140" t="s">
        <v>130</v>
      </c>
    </row>
    <row r="99" spans="2:5">
      <c r="B99" s="139">
        <v>191</v>
      </c>
      <c r="D99" s="127" t="s">
        <v>131</v>
      </c>
      <c r="E99" s="140" t="s">
        <v>547</v>
      </c>
    </row>
    <row r="100" spans="2:5">
      <c r="B100" s="139">
        <v>192</v>
      </c>
      <c r="D100" s="127" t="s">
        <v>132</v>
      </c>
      <c r="E100" s="140" t="s">
        <v>548</v>
      </c>
    </row>
    <row r="101" spans="2:5">
      <c r="B101" s="139">
        <v>193</v>
      </c>
      <c r="D101" s="127" t="s">
        <v>133</v>
      </c>
      <c r="E101" s="140" t="s">
        <v>549</v>
      </c>
    </row>
    <row r="102" spans="2:5">
      <c r="B102" s="139">
        <v>194</v>
      </c>
      <c r="D102" s="127" t="s">
        <v>466</v>
      </c>
      <c r="E102" s="140" t="s">
        <v>667</v>
      </c>
    </row>
    <row r="103" spans="2:5">
      <c r="B103" s="139">
        <v>195</v>
      </c>
      <c r="D103" s="127" t="s">
        <v>134</v>
      </c>
      <c r="E103" s="140" t="s">
        <v>668</v>
      </c>
    </row>
    <row r="104" spans="2:5">
      <c r="B104" s="139">
        <v>196</v>
      </c>
      <c r="D104" s="127" t="s">
        <v>467</v>
      </c>
      <c r="E104" s="140" t="s">
        <v>669</v>
      </c>
    </row>
    <row r="105" spans="2:5">
      <c r="B105" s="139">
        <v>197</v>
      </c>
      <c r="D105" s="127" t="s">
        <v>135</v>
      </c>
      <c r="E105" s="140" t="s">
        <v>670</v>
      </c>
    </row>
    <row r="106" spans="2:5">
      <c r="B106" s="139">
        <v>198</v>
      </c>
      <c r="D106" s="127" t="s">
        <v>136</v>
      </c>
      <c r="E106" s="140" t="s">
        <v>671</v>
      </c>
    </row>
    <row r="107" spans="2:5">
      <c r="B107" s="139">
        <v>199</v>
      </c>
      <c r="D107" s="127" t="s">
        <v>137</v>
      </c>
      <c r="E107" s="140" t="s">
        <v>672</v>
      </c>
    </row>
    <row r="108" spans="2:5">
      <c r="B108" s="139">
        <v>200</v>
      </c>
      <c r="D108" s="127" t="s">
        <v>468</v>
      </c>
      <c r="E108" s="140" t="s">
        <v>673</v>
      </c>
    </row>
    <row r="109" spans="2:5">
      <c r="B109" s="139">
        <v>201</v>
      </c>
      <c r="D109" s="127" t="s">
        <v>138</v>
      </c>
      <c r="E109" s="140" t="s">
        <v>674</v>
      </c>
    </row>
    <row r="110" spans="2:5">
      <c r="B110" s="139">
        <v>202</v>
      </c>
      <c r="D110" s="127" t="s">
        <v>139</v>
      </c>
      <c r="E110" s="140" t="s">
        <v>675</v>
      </c>
    </row>
    <row r="111" spans="2:5">
      <c r="B111" s="139">
        <v>203</v>
      </c>
      <c r="D111" s="127" t="s">
        <v>140</v>
      </c>
      <c r="E111" s="140" t="s">
        <v>550</v>
      </c>
    </row>
    <row r="112" spans="2:5">
      <c r="B112" s="139">
        <v>204</v>
      </c>
      <c r="D112" s="127" t="s">
        <v>469</v>
      </c>
      <c r="E112" s="140" t="s">
        <v>551</v>
      </c>
    </row>
    <row r="113" spans="2:5">
      <c r="B113" s="139">
        <v>205</v>
      </c>
      <c r="D113" s="127" t="s">
        <v>470</v>
      </c>
      <c r="E113" s="140" t="s">
        <v>552</v>
      </c>
    </row>
    <row r="114" spans="2:5">
      <c r="B114" s="139">
        <v>206</v>
      </c>
      <c r="D114" s="127" t="s">
        <v>471</v>
      </c>
      <c r="E114" s="140" t="s">
        <v>676</v>
      </c>
    </row>
    <row r="115" spans="2:5">
      <c r="B115" s="139">
        <v>207</v>
      </c>
      <c r="D115" s="127" t="s">
        <v>472</v>
      </c>
      <c r="E115" s="140" t="s">
        <v>553</v>
      </c>
    </row>
    <row r="116" spans="2:5">
      <c r="B116" s="139">
        <v>208</v>
      </c>
      <c r="D116" s="127" t="s">
        <v>473</v>
      </c>
      <c r="E116" s="140" t="s">
        <v>554</v>
      </c>
    </row>
    <row r="117" spans="2:5">
      <c r="B117" s="139">
        <v>209</v>
      </c>
      <c r="D117" s="127" t="s">
        <v>141</v>
      </c>
      <c r="E117" s="140" t="s">
        <v>677</v>
      </c>
    </row>
    <row r="118" spans="2:5">
      <c r="B118" s="139">
        <v>210</v>
      </c>
      <c r="D118" s="127" t="s">
        <v>474</v>
      </c>
      <c r="E118" s="140" t="s">
        <v>678</v>
      </c>
    </row>
    <row r="119" spans="2:5">
      <c r="B119" s="139">
        <v>211</v>
      </c>
      <c r="D119" s="127" t="s">
        <v>142</v>
      </c>
      <c r="E119" s="140" t="s">
        <v>555</v>
      </c>
    </row>
    <row r="120" spans="2:5">
      <c r="B120" s="139">
        <v>212</v>
      </c>
      <c r="D120" s="127" t="s">
        <v>143</v>
      </c>
      <c r="E120" s="140" t="s">
        <v>679</v>
      </c>
    </row>
    <row r="121" spans="2:5">
      <c r="B121" s="139">
        <v>213</v>
      </c>
      <c r="D121" s="127" t="s">
        <v>144</v>
      </c>
      <c r="E121" s="140" t="s">
        <v>680</v>
      </c>
    </row>
    <row r="122" spans="2:5">
      <c r="B122" s="139">
        <v>214</v>
      </c>
      <c r="D122" s="127" t="s">
        <v>475</v>
      </c>
      <c r="E122" s="140" t="s">
        <v>681</v>
      </c>
    </row>
    <row r="123" spans="2:5">
      <c r="B123" s="139">
        <v>215</v>
      </c>
      <c r="D123" s="127" t="s">
        <v>476</v>
      </c>
      <c r="E123" s="140" t="s">
        <v>682</v>
      </c>
    </row>
    <row r="124" spans="2:5">
      <c r="B124" s="139">
        <v>216</v>
      </c>
      <c r="D124" s="127" t="s">
        <v>1061</v>
      </c>
      <c r="E124" s="140" t="s">
        <v>683</v>
      </c>
    </row>
    <row r="125" spans="2:5">
      <c r="B125" s="139">
        <v>217</v>
      </c>
      <c r="D125" s="127" t="s">
        <v>477</v>
      </c>
      <c r="E125" s="140" t="s">
        <v>684</v>
      </c>
    </row>
    <row r="126" spans="2:5">
      <c r="B126" s="139">
        <v>218</v>
      </c>
      <c r="D126" s="127" t="s">
        <v>478</v>
      </c>
      <c r="E126" s="140" t="s">
        <v>685</v>
      </c>
    </row>
    <row r="127" spans="2:5">
      <c r="B127" s="139">
        <v>219</v>
      </c>
      <c r="D127" s="127" t="s">
        <v>479</v>
      </c>
      <c r="E127" s="140" t="s">
        <v>686</v>
      </c>
    </row>
    <row r="128" spans="2:5">
      <c r="B128" s="139">
        <v>220</v>
      </c>
      <c r="D128" s="127" t="s">
        <v>480</v>
      </c>
      <c r="E128" s="140" t="s">
        <v>687</v>
      </c>
    </row>
    <row r="129" spans="2:5">
      <c r="B129" s="139">
        <v>221</v>
      </c>
      <c r="D129" s="127" t="s">
        <v>145</v>
      </c>
      <c r="E129" s="140" t="s">
        <v>688</v>
      </c>
    </row>
    <row r="130" spans="2:5">
      <c r="B130" s="139">
        <v>222</v>
      </c>
      <c r="D130" s="127" t="s">
        <v>146</v>
      </c>
      <c r="E130" s="140" t="s">
        <v>689</v>
      </c>
    </row>
    <row r="131" spans="2:5">
      <c r="B131" s="139">
        <v>223</v>
      </c>
      <c r="D131" s="127" t="s">
        <v>147</v>
      </c>
      <c r="E131" s="140" t="s">
        <v>690</v>
      </c>
    </row>
    <row r="132" spans="2:5">
      <c r="B132" s="139">
        <v>224</v>
      </c>
      <c r="D132" s="127" t="s">
        <v>148</v>
      </c>
      <c r="E132" s="140" t="s">
        <v>691</v>
      </c>
    </row>
    <row r="133" spans="2:5">
      <c r="B133" s="139">
        <v>225</v>
      </c>
      <c r="D133" s="127" t="s">
        <v>481</v>
      </c>
      <c r="E133" s="140" t="s">
        <v>692</v>
      </c>
    </row>
    <row r="134" spans="2:5">
      <c r="B134" s="139">
        <v>226</v>
      </c>
      <c r="D134" s="127" t="s">
        <v>482</v>
      </c>
      <c r="E134" s="140" t="s">
        <v>693</v>
      </c>
    </row>
    <row r="135" spans="2:5">
      <c r="B135" s="139">
        <v>227</v>
      </c>
      <c r="D135" s="127" t="s">
        <v>483</v>
      </c>
      <c r="E135" s="140" t="s">
        <v>694</v>
      </c>
    </row>
    <row r="136" spans="2:5">
      <c r="B136" s="139">
        <v>228</v>
      </c>
      <c r="D136" s="127" t="s">
        <v>149</v>
      </c>
      <c r="E136" s="140" t="s">
        <v>695</v>
      </c>
    </row>
    <row r="137" spans="2:5">
      <c r="B137" s="139">
        <v>229</v>
      </c>
      <c r="D137" s="127" t="s">
        <v>150</v>
      </c>
      <c r="E137" s="140" t="s">
        <v>696</v>
      </c>
    </row>
    <row r="138" spans="2:5">
      <c r="B138" s="139">
        <v>230</v>
      </c>
      <c r="D138" s="127" t="s">
        <v>484</v>
      </c>
      <c r="E138" s="140" t="s">
        <v>556</v>
      </c>
    </row>
    <row r="139" spans="2:5">
      <c r="B139" s="139">
        <v>231</v>
      </c>
      <c r="D139" s="127" t="s">
        <v>151</v>
      </c>
      <c r="E139" s="140" t="s">
        <v>697</v>
      </c>
    </row>
    <row r="140" spans="2:5" ht="36">
      <c r="B140" s="139">
        <v>232</v>
      </c>
      <c r="D140" s="127" t="s">
        <v>152</v>
      </c>
      <c r="E140" s="140" t="s">
        <v>698</v>
      </c>
    </row>
    <row r="141" spans="2:5">
      <c r="B141" s="139">
        <v>233</v>
      </c>
      <c r="D141" s="127" t="s">
        <v>153</v>
      </c>
      <c r="E141" s="140" t="s">
        <v>699</v>
      </c>
    </row>
    <row r="142" spans="2:5">
      <c r="B142" s="139">
        <v>234</v>
      </c>
      <c r="D142" s="127" t="s">
        <v>154</v>
      </c>
      <c r="E142" s="140" t="s">
        <v>959</v>
      </c>
    </row>
    <row r="143" spans="2:5">
      <c r="B143" s="139">
        <v>235</v>
      </c>
      <c r="D143" s="127" t="s">
        <v>155</v>
      </c>
      <c r="E143" s="140" t="s">
        <v>557</v>
      </c>
    </row>
    <row r="144" spans="2:5">
      <c r="B144" s="139">
        <v>236</v>
      </c>
      <c r="D144" s="127" t="s">
        <v>156</v>
      </c>
      <c r="E144" s="140" t="s">
        <v>700</v>
      </c>
    </row>
    <row r="145" spans="2:5">
      <c r="B145" s="139">
        <v>237</v>
      </c>
      <c r="D145" s="127" t="s">
        <v>157</v>
      </c>
      <c r="E145" s="140" t="s">
        <v>558</v>
      </c>
    </row>
    <row r="146" spans="2:5">
      <c r="B146" s="139">
        <v>238</v>
      </c>
      <c r="D146" s="127" t="s">
        <v>158</v>
      </c>
      <c r="E146" s="140" t="s">
        <v>701</v>
      </c>
    </row>
    <row r="147" spans="2:5">
      <c r="B147" s="139">
        <v>239</v>
      </c>
      <c r="D147" s="127" t="s">
        <v>159</v>
      </c>
      <c r="E147" s="140" t="s">
        <v>702</v>
      </c>
    </row>
    <row r="148" spans="2:5">
      <c r="B148" s="139">
        <v>240</v>
      </c>
      <c r="D148" s="127" t="s">
        <v>160</v>
      </c>
      <c r="E148" s="140" t="s">
        <v>559</v>
      </c>
    </row>
    <row r="149" spans="2:5">
      <c r="B149" s="139">
        <v>241</v>
      </c>
      <c r="D149" s="127" t="s">
        <v>161</v>
      </c>
      <c r="E149" s="140" t="s">
        <v>560</v>
      </c>
    </row>
    <row r="150" spans="2:5">
      <c r="B150" s="139">
        <v>242</v>
      </c>
      <c r="D150" s="127" t="s">
        <v>162</v>
      </c>
      <c r="E150" s="140" t="s">
        <v>703</v>
      </c>
    </row>
    <row r="151" spans="2:5">
      <c r="B151" s="139">
        <v>243</v>
      </c>
      <c r="D151" s="127" t="s">
        <v>163</v>
      </c>
      <c r="E151" s="140" t="s">
        <v>704</v>
      </c>
    </row>
    <row r="152" spans="2:5">
      <c r="B152" s="139">
        <v>244</v>
      </c>
      <c r="D152" s="127" t="s">
        <v>164</v>
      </c>
      <c r="E152" s="140" t="s">
        <v>705</v>
      </c>
    </row>
    <row r="153" spans="2:5">
      <c r="B153" s="139">
        <v>245</v>
      </c>
      <c r="D153" s="127" t="s">
        <v>485</v>
      </c>
      <c r="E153" s="140" t="s">
        <v>706</v>
      </c>
    </row>
    <row r="154" spans="2:5">
      <c r="B154" s="139">
        <v>246</v>
      </c>
      <c r="D154" s="127" t="s">
        <v>165</v>
      </c>
      <c r="E154" s="140" t="s">
        <v>707</v>
      </c>
    </row>
    <row r="155" spans="2:5">
      <c r="B155" s="139">
        <v>247</v>
      </c>
      <c r="D155" s="127" t="s">
        <v>166</v>
      </c>
      <c r="E155" s="140" t="s">
        <v>561</v>
      </c>
    </row>
    <row r="156" spans="2:5">
      <c r="B156" s="139">
        <v>248</v>
      </c>
      <c r="D156" s="127" t="s">
        <v>167</v>
      </c>
      <c r="E156" s="140" t="s">
        <v>708</v>
      </c>
    </row>
    <row r="157" spans="2:5">
      <c r="B157" s="139">
        <v>249</v>
      </c>
      <c r="D157" s="127" t="s">
        <v>486</v>
      </c>
      <c r="E157" s="140" t="s">
        <v>709</v>
      </c>
    </row>
    <row r="158" spans="2:5">
      <c r="B158" s="139">
        <v>250</v>
      </c>
      <c r="D158" s="127" t="s">
        <v>487</v>
      </c>
      <c r="E158" s="140" t="s">
        <v>710</v>
      </c>
    </row>
    <row r="159" spans="2:5">
      <c r="B159" s="139">
        <v>251</v>
      </c>
      <c r="D159" s="127" t="s">
        <v>488</v>
      </c>
      <c r="E159" s="140" t="s">
        <v>711</v>
      </c>
    </row>
    <row r="160" spans="2:5">
      <c r="B160" s="139">
        <v>252</v>
      </c>
      <c r="D160" s="127" t="s">
        <v>489</v>
      </c>
      <c r="E160" s="140" t="s">
        <v>712</v>
      </c>
    </row>
    <row r="161" spans="2:5">
      <c r="B161" s="139">
        <v>253</v>
      </c>
      <c r="D161" s="127" t="s">
        <v>168</v>
      </c>
      <c r="E161" s="140" t="s">
        <v>960</v>
      </c>
    </row>
    <row r="162" spans="2:5" ht="24">
      <c r="B162" s="139">
        <v>254</v>
      </c>
      <c r="D162" s="127" t="s">
        <v>169</v>
      </c>
      <c r="E162" s="140" t="s">
        <v>713</v>
      </c>
    </row>
    <row r="163" spans="2:5" ht="24">
      <c r="B163" s="139">
        <v>255</v>
      </c>
      <c r="D163" s="127" t="s">
        <v>170</v>
      </c>
      <c r="E163" s="140" t="s">
        <v>714</v>
      </c>
    </row>
    <row r="164" spans="2:5" ht="24">
      <c r="B164" s="139">
        <v>256</v>
      </c>
      <c r="D164" s="127" t="s">
        <v>171</v>
      </c>
      <c r="E164" s="140" t="s">
        <v>715</v>
      </c>
    </row>
    <row r="165" spans="2:5">
      <c r="B165" s="139">
        <v>257</v>
      </c>
      <c r="D165" s="127" t="s">
        <v>172</v>
      </c>
      <c r="E165" s="140" t="s">
        <v>562</v>
      </c>
    </row>
    <row r="166" spans="2:5">
      <c r="B166" s="139">
        <v>258</v>
      </c>
      <c r="D166" s="127" t="s">
        <v>173</v>
      </c>
      <c r="E166" s="140" t="s">
        <v>716</v>
      </c>
    </row>
    <row r="167" spans="2:5">
      <c r="B167" s="139">
        <v>259</v>
      </c>
      <c r="D167" s="127" t="s">
        <v>174</v>
      </c>
      <c r="E167" s="140" t="s">
        <v>717</v>
      </c>
    </row>
    <row r="168" spans="2:5">
      <c r="B168" s="139">
        <v>260</v>
      </c>
      <c r="D168" s="127" t="s">
        <v>175</v>
      </c>
      <c r="E168" s="140" t="s">
        <v>718</v>
      </c>
    </row>
    <row r="169" spans="2:5">
      <c r="B169" s="139">
        <v>261</v>
      </c>
      <c r="D169" s="127" t="s">
        <v>176</v>
      </c>
      <c r="E169" s="140" t="s">
        <v>719</v>
      </c>
    </row>
    <row r="170" spans="2:5" ht="24">
      <c r="B170" s="139">
        <v>262</v>
      </c>
      <c r="D170" s="127" t="s">
        <v>177</v>
      </c>
      <c r="E170" s="140" t="s">
        <v>720</v>
      </c>
    </row>
    <row r="171" spans="2:5">
      <c r="B171" s="139">
        <v>263</v>
      </c>
      <c r="D171" s="127" t="s">
        <v>178</v>
      </c>
      <c r="E171" s="140" t="s">
        <v>721</v>
      </c>
    </row>
    <row r="172" spans="2:5">
      <c r="B172" s="139">
        <v>264</v>
      </c>
      <c r="D172" s="127" t="s">
        <v>179</v>
      </c>
      <c r="E172" s="140" t="s">
        <v>722</v>
      </c>
    </row>
    <row r="173" spans="2:5">
      <c r="B173" s="139">
        <v>265</v>
      </c>
      <c r="D173" s="127" t="s">
        <v>180</v>
      </c>
      <c r="E173" s="140" t="s">
        <v>723</v>
      </c>
    </row>
    <row r="174" spans="2:5">
      <c r="B174" s="139">
        <v>266</v>
      </c>
      <c r="D174" s="127" t="s">
        <v>181</v>
      </c>
      <c r="E174" s="140" t="s">
        <v>724</v>
      </c>
    </row>
    <row r="175" spans="2:5">
      <c r="B175" s="139">
        <v>267</v>
      </c>
      <c r="D175" s="127" t="s">
        <v>182</v>
      </c>
      <c r="E175" s="140" t="s">
        <v>725</v>
      </c>
    </row>
    <row r="176" spans="2:5">
      <c r="B176" s="139">
        <v>268</v>
      </c>
      <c r="D176" s="127" t="s">
        <v>183</v>
      </c>
      <c r="E176" s="140" t="s">
        <v>726</v>
      </c>
    </row>
    <row r="177" spans="2:5">
      <c r="B177" s="139">
        <v>269</v>
      </c>
      <c r="D177" s="127" t="s">
        <v>490</v>
      </c>
      <c r="E177" s="140" t="s">
        <v>727</v>
      </c>
    </row>
    <row r="178" spans="2:5">
      <c r="B178" s="139">
        <v>270</v>
      </c>
      <c r="D178" s="127" t="s">
        <v>184</v>
      </c>
      <c r="E178" s="140" t="s">
        <v>728</v>
      </c>
    </row>
    <row r="179" spans="2:5">
      <c r="B179" s="139">
        <v>271</v>
      </c>
      <c r="D179" s="127" t="s">
        <v>491</v>
      </c>
      <c r="E179" s="140" t="s">
        <v>563</v>
      </c>
    </row>
    <row r="180" spans="2:5" ht="24">
      <c r="B180" s="139">
        <v>272</v>
      </c>
      <c r="D180" s="127" t="s">
        <v>185</v>
      </c>
    </row>
    <row r="181" spans="2:5">
      <c r="B181" s="139">
        <v>273</v>
      </c>
      <c r="D181" s="127" t="s">
        <v>186</v>
      </c>
      <c r="E181" s="140" t="s">
        <v>729</v>
      </c>
    </row>
    <row r="182" spans="2:5">
      <c r="B182" s="139">
        <v>274</v>
      </c>
      <c r="D182" s="127" t="s">
        <v>187</v>
      </c>
      <c r="E182" s="140" t="s">
        <v>564</v>
      </c>
    </row>
    <row r="183" spans="2:5">
      <c r="B183" s="139">
        <v>275</v>
      </c>
      <c r="D183" s="127" t="s">
        <v>188</v>
      </c>
      <c r="E183" s="140" t="s">
        <v>565</v>
      </c>
    </row>
    <row r="184" spans="2:5">
      <c r="B184" s="139">
        <v>276</v>
      </c>
      <c r="D184" s="127" t="s">
        <v>189</v>
      </c>
      <c r="E184" s="140" t="s">
        <v>961</v>
      </c>
    </row>
    <row r="185" spans="2:5">
      <c r="B185" s="139">
        <v>277</v>
      </c>
      <c r="D185" s="127" t="s">
        <v>492</v>
      </c>
      <c r="E185" s="140" t="s">
        <v>566</v>
      </c>
    </row>
    <row r="186" spans="2:5">
      <c r="B186" s="139">
        <v>278</v>
      </c>
      <c r="D186" s="127" t="s">
        <v>190</v>
      </c>
      <c r="E186" s="140" t="s">
        <v>567</v>
      </c>
    </row>
    <row r="187" spans="2:5">
      <c r="B187" s="139">
        <v>279</v>
      </c>
      <c r="D187" s="127" t="s">
        <v>191</v>
      </c>
      <c r="E187" s="140" t="s">
        <v>730</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962</v>
      </c>
    </row>
    <row r="192" spans="2:5">
      <c r="B192" s="139">
        <v>284</v>
      </c>
      <c r="D192" s="127" t="s">
        <v>195</v>
      </c>
      <c r="E192" s="140" t="s">
        <v>731</v>
      </c>
    </row>
    <row r="193" spans="2:5">
      <c r="B193" s="139">
        <v>285</v>
      </c>
      <c r="D193" s="127" t="s">
        <v>196</v>
      </c>
      <c r="E193" s="140" t="s">
        <v>568</v>
      </c>
    </row>
    <row r="194" spans="2:5">
      <c r="B194" s="139">
        <v>286</v>
      </c>
      <c r="D194" s="127" t="s">
        <v>493</v>
      </c>
      <c r="E194" s="140" t="s">
        <v>569</v>
      </c>
    </row>
    <row r="195" spans="2:5">
      <c r="B195" s="139">
        <v>287</v>
      </c>
      <c r="D195" s="127" t="s">
        <v>494</v>
      </c>
      <c r="E195" s="140" t="s">
        <v>570</v>
      </c>
    </row>
    <row r="196" spans="2:5">
      <c r="B196" s="139">
        <v>288</v>
      </c>
      <c r="D196" s="127" t="s">
        <v>495</v>
      </c>
      <c r="E196" s="140" t="s">
        <v>569</v>
      </c>
    </row>
    <row r="197" spans="2:5">
      <c r="B197" s="139">
        <v>289</v>
      </c>
      <c r="D197" s="127" t="s">
        <v>197</v>
      </c>
      <c r="E197" s="140" t="s">
        <v>571</v>
      </c>
    </row>
    <row r="198" spans="2:5">
      <c r="B198" s="139">
        <v>290</v>
      </c>
      <c r="D198" s="127" t="s">
        <v>496</v>
      </c>
      <c r="E198" s="140" t="s">
        <v>732</v>
      </c>
    </row>
    <row r="199" spans="2:5">
      <c r="B199" s="139">
        <v>291</v>
      </c>
      <c r="D199" s="127" t="s">
        <v>198</v>
      </c>
      <c r="E199" s="140" t="s">
        <v>733</v>
      </c>
    </row>
    <row r="200" spans="2:5">
      <c r="B200" s="139">
        <v>292</v>
      </c>
      <c r="D200" s="127" t="s">
        <v>527</v>
      </c>
      <c r="E200" s="140" t="s">
        <v>734</v>
      </c>
    </row>
    <row r="201" spans="2:5">
      <c r="B201" s="139">
        <v>293</v>
      </c>
      <c r="D201" s="127" t="s">
        <v>528</v>
      </c>
      <c r="E201" s="140" t="s">
        <v>963</v>
      </c>
    </row>
    <row r="202" spans="2:5">
      <c r="B202" s="139">
        <v>294</v>
      </c>
      <c r="D202" s="127" t="s">
        <v>199</v>
      </c>
      <c r="E202" s="140" t="s">
        <v>572</v>
      </c>
    </row>
    <row r="203" spans="2:5">
      <c r="B203" s="139">
        <v>295</v>
      </c>
      <c r="D203" s="127" t="s">
        <v>497</v>
      </c>
      <c r="E203" s="140" t="s">
        <v>573</v>
      </c>
    </row>
    <row r="204" spans="2:5">
      <c r="B204" s="139">
        <v>296</v>
      </c>
      <c r="D204" s="127" t="s">
        <v>200</v>
      </c>
      <c r="E204" s="140" t="s">
        <v>735</v>
      </c>
    </row>
    <row r="205" spans="2:5">
      <c r="B205" s="139">
        <v>297</v>
      </c>
      <c r="D205" s="127" t="s">
        <v>201</v>
      </c>
      <c r="E205" s="140" t="s">
        <v>736</v>
      </c>
    </row>
    <row r="206" spans="2:5">
      <c r="B206" s="139">
        <v>298</v>
      </c>
      <c r="D206" s="127" t="s">
        <v>202</v>
      </c>
      <c r="E206" s="140" t="s">
        <v>574</v>
      </c>
    </row>
    <row r="207" spans="2:5" ht="24">
      <c r="B207" s="139">
        <v>299</v>
      </c>
      <c r="D207" s="127" t="s">
        <v>203</v>
      </c>
      <c r="E207" s="140" t="s">
        <v>737</v>
      </c>
    </row>
    <row r="208" spans="2:5" ht="24">
      <c r="B208" s="139">
        <v>300</v>
      </c>
      <c r="D208" s="127" t="s">
        <v>529</v>
      </c>
      <c r="E208" s="140" t="s">
        <v>738</v>
      </c>
    </row>
    <row r="209" spans="2:5">
      <c r="B209" s="139">
        <v>301</v>
      </c>
      <c r="D209" s="127" t="s">
        <v>530</v>
      </c>
      <c r="E209" s="140" t="s">
        <v>964</v>
      </c>
    </row>
    <row r="210" spans="2:5">
      <c r="B210" s="139">
        <v>302</v>
      </c>
      <c r="D210" s="127" t="s">
        <v>498</v>
      </c>
      <c r="E210" s="140" t="s">
        <v>965</v>
      </c>
    </row>
    <row r="211" spans="2:5">
      <c r="B211" s="139">
        <v>303</v>
      </c>
      <c r="D211" s="127" t="s">
        <v>204</v>
      </c>
      <c r="E211" s="140" t="s">
        <v>739</v>
      </c>
    </row>
    <row r="212" spans="2:5">
      <c r="B212" s="139">
        <v>304</v>
      </c>
      <c r="D212" s="127" t="s">
        <v>499</v>
      </c>
      <c r="E212" s="140" t="s">
        <v>740</v>
      </c>
    </row>
    <row r="213" spans="2:5">
      <c r="B213" s="139">
        <v>305</v>
      </c>
      <c r="D213" s="127" t="s">
        <v>500</v>
      </c>
      <c r="E213" s="140" t="s">
        <v>575</v>
      </c>
    </row>
    <row r="214" spans="2:5">
      <c r="B214" s="139">
        <v>306</v>
      </c>
      <c r="D214" s="127" t="s">
        <v>205</v>
      </c>
      <c r="E214" s="140" t="s">
        <v>741</v>
      </c>
    </row>
    <row r="215" spans="2:5">
      <c r="B215" s="139">
        <v>307</v>
      </c>
      <c r="D215" s="127" t="s">
        <v>206</v>
      </c>
      <c r="E215" s="140" t="s">
        <v>576</v>
      </c>
    </row>
    <row r="216" spans="2:5">
      <c r="B216" s="139">
        <v>308</v>
      </c>
      <c r="D216" s="127" t="s">
        <v>501</v>
      </c>
      <c r="E216" s="140" t="s">
        <v>742</v>
      </c>
    </row>
    <row r="217" spans="2:5">
      <c r="B217" s="139">
        <v>309</v>
      </c>
      <c r="D217" s="127" t="s">
        <v>207</v>
      </c>
      <c r="E217" s="140" t="s">
        <v>743</v>
      </c>
    </row>
    <row r="218" spans="2:5">
      <c r="B218" s="139">
        <v>310</v>
      </c>
      <c r="D218" s="127" t="s">
        <v>208</v>
      </c>
      <c r="E218" s="140" t="s">
        <v>744</v>
      </c>
    </row>
    <row r="219" spans="2:5" ht="24">
      <c r="B219" s="139">
        <v>311</v>
      </c>
      <c r="D219" s="127" t="s">
        <v>209</v>
      </c>
      <c r="E219" s="140" t="s">
        <v>745</v>
      </c>
    </row>
    <row r="220" spans="2:5">
      <c r="B220" s="139">
        <v>312</v>
      </c>
      <c r="D220" s="127" t="s">
        <v>210</v>
      </c>
      <c r="E220" s="140" t="s">
        <v>746</v>
      </c>
    </row>
    <row r="221" spans="2:5">
      <c r="B221" s="139">
        <v>313</v>
      </c>
      <c r="C221" s="136" t="s">
        <v>940</v>
      </c>
      <c r="D221" s="127" t="s">
        <v>966</v>
      </c>
      <c r="E221" s="166" t="s">
        <v>967</v>
      </c>
    </row>
    <row r="222" spans="2:5">
      <c r="B222" s="139">
        <v>314</v>
      </c>
      <c r="D222" s="127" t="s">
        <v>211</v>
      </c>
      <c r="E222" s="140" t="s">
        <v>968</v>
      </c>
    </row>
    <row r="223" spans="2:5">
      <c r="B223" s="139">
        <v>315</v>
      </c>
      <c r="D223" s="127" t="s">
        <v>212</v>
      </c>
      <c r="E223" s="140" t="s">
        <v>747</v>
      </c>
    </row>
    <row r="224" spans="2:5">
      <c r="B224" s="139">
        <v>316</v>
      </c>
      <c r="D224" s="127" t="s">
        <v>213</v>
      </c>
      <c r="E224" s="140" t="s">
        <v>748</v>
      </c>
    </row>
    <row r="225" spans="1:6">
      <c r="B225" s="139">
        <v>317</v>
      </c>
      <c r="D225" s="127" t="s">
        <v>214</v>
      </c>
      <c r="E225" s="140" t="s">
        <v>749</v>
      </c>
    </row>
    <row r="226" spans="1:6">
      <c r="B226" s="139">
        <v>318</v>
      </c>
      <c r="D226" s="127" t="s">
        <v>215</v>
      </c>
      <c r="E226" s="140" t="s">
        <v>577</v>
      </c>
    </row>
    <row r="227" spans="1:6">
      <c r="B227" s="139">
        <v>319</v>
      </c>
      <c r="D227" s="127" t="s">
        <v>502</v>
      </c>
      <c r="E227" s="140" t="s">
        <v>750</v>
      </c>
    </row>
    <row r="228" spans="1:6">
      <c r="B228" s="139">
        <v>320</v>
      </c>
      <c r="D228" s="127" t="s">
        <v>216</v>
      </c>
      <c r="E228" s="140" t="s">
        <v>751</v>
      </c>
    </row>
    <row r="229" spans="1:6" ht="36">
      <c r="B229" s="139">
        <v>321</v>
      </c>
      <c r="D229" s="127" t="s">
        <v>217</v>
      </c>
      <c r="E229" s="140" t="s">
        <v>752</v>
      </c>
    </row>
    <row r="230" spans="1:6">
      <c r="B230" s="139">
        <v>322</v>
      </c>
      <c r="D230" s="127" t="s">
        <v>218</v>
      </c>
      <c r="E230" s="140" t="s">
        <v>753</v>
      </c>
    </row>
    <row r="231" spans="1:6" ht="24">
      <c r="B231" s="139">
        <v>323</v>
      </c>
      <c r="D231" s="127" t="s">
        <v>219</v>
      </c>
      <c r="E231" s="140" t="s">
        <v>754</v>
      </c>
    </row>
    <row r="232" spans="1:6">
      <c r="A232" s="129"/>
      <c r="B232" s="139">
        <v>324</v>
      </c>
      <c r="C232" s="138" t="s">
        <v>526</v>
      </c>
      <c r="D232" s="128" t="s">
        <v>969</v>
      </c>
      <c r="E232" s="128" t="s">
        <v>534</v>
      </c>
      <c r="F232" s="130"/>
    </row>
    <row r="233" spans="1:6">
      <c r="A233" s="129"/>
      <c r="B233" s="139">
        <v>325</v>
      </c>
      <c r="C233" s="138" t="s">
        <v>526</v>
      </c>
      <c r="D233" s="128" t="s">
        <v>970</v>
      </c>
      <c r="E233" s="128" t="s">
        <v>919</v>
      </c>
      <c r="F233" s="130"/>
    </row>
    <row r="234" spans="1:6">
      <c r="A234" s="129"/>
      <c r="B234" s="139">
        <v>326</v>
      </c>
      <c r="C234" s="138" t="s">
        <v>938</v>
      </c>
      <c r="D234" s="128" t="s">
        <v>971</v>
      </c>
      <c r="E234" s="128" t="s">
        <v>972</v>
      </c>
      <c r="F234" s="130"/>
    </row>
    <row r="235" spans="1:6">
      <c r="B235" s="139">
        <v>327</v>
      </c>
      <c r="D235" s="127" t="s">
        <v>220</v>
      </c>
      <c r="E235" s="140" t="s">
        <v>578</v>
      </c>
    </row>
    <row r="236" spans="1:6" ht="12.75">
      <c r="B236" s="139">
        <v>328</v>
      </c>
      <c r="D236" s="127" t="s">
        <v>221</v>
      </c>
      <c r="E236" s="168" t="s">
        <v>925</v>
      </c>
    </row>
    <row r="237" spans="1:6">
      <c r="B237" s="139">
        <v>329</v>
      </c>
      <c r="D237" s="127" t="s">
        <v>222</v>
      </c>
      <c r="E237" s="140" t="s">
        <v>755</v>
      </c>
    </row>
    <row r="238" spans="1:6">
      <c r="B238" s="139">
        <v>330</v>
      </c>
      <c r="D238" s="127" t="s">
        <v>223</v>
      </c>
      <c r="E238" s="140" t="s">
        <v>756</v>
      </c>
    </row>
    <row r="239" spans="1:6">
      <c r="B239" s="139">
        <v>331</v>
      </c>
      <c r="D239" s="127" t="s">
        <v>224</v>
      </c>
      <c r="E239" s="140" t="s">
        <v>757</v>
      </c>
    </row>
    <row r="240" spans="1:6">
      <c r="B240" s="139">
        <v>332</v>
      </c>
      <c r="D240" s="127" t="s">
        <v>225</v>
      </c>
      <c r="E240" s="140" t="s">
        <v>758</v>
      </c>
    </row>
    <row r="241" spans="2:5">
      <c r="B241" s="139">
        <v>333</v>
      </c>
      <c r="D241" s="127" t="s">
        <v>226</v>
      </c>
      <c r="E241" s="140" t="s">
        <v>759</v>
      </c>
    </row>
    <row r="242" spans="2:5">
      <c r="B242" s="139">
        <v>334</v>
      </c>
      <c r="D242" s="127" t="s">
        <v>227</v>
      </c>
      <c r="E242" s="140" t="s">
        <v>760</v>
      </c>
    </row>
    <row r="243" spans="2:5">
      <c r="B243" s="139">
        <v>335</v>
      </c>
      <c r="D243" s="127" t="s">
        <v>228</v>
      </c>
      <c r="E243" s="140" t="s">
        <v>761</v>
      </c>
    </row>
    <row r="244" spans="2:5">
      <c r="B244" s="139">
        <v>336</v>
      </c>
      <c r="D244" s="127" t="s">
        <v>229</v>
      </c>
      <c r="E244" s="140" t="s">
        <v>579</v>
      </c>
    </row>
    <row r="245" spans="2:5">
      <c r="B245" s="139">
        <v>337</v>
      </c>
      <c r="D245" s="127" t="s">
        <v>230</v>
      </c>
      <c r="E245" s="140" t="s">
        <v>762</v>
      </c>
    </row>
    <row r="246" spans="2:5">
      <c r="B246" s="139">
        <v>338</v>
      </c>
      <c r="D246" s="127" t="s">
        <v>231</v>
      </c>
      <c r="E246" s="140" t="s">
        <v>580</v>
      </c>
    </row>
    <row r="247" spans="2:5">
      <c r="B247" s="139">
        <v>339</v>
      </c>
      <c r="D247" s="127" t="s">
        <v>232</v>
      </c>
      <c r="E247" s="140" t="s">
        <v>763</v>
      </c>
    </row>
    <row r="248" spans="2:5">
      <c r="B248" s="139">
        <v>340</v>
      </c>
      <c r="D248" s="127" t="s">
        <v>233</v>
      </c>
      <c r="E248" s="140" t="s">
        <v>581</v>
      </c>
    </row>
    <row r="249" spans="2:5">
      <c r="B249" s="139">
        <v>341</v>
      </c>
      <c r="D249" s="127" t="s">
        <v>234</v>
      </c>
      <c r="E249" s="140" t="s">
        <v>764</v>
      </c>
    </row>
    <row r="250" spans="2:5">
      <c r="B250" s="139">
        <v>342</v>
      </c>
      <c r="D250" s="127" t="s">
        <v>235</v>
      </c>
      <c r="E250" s="140" t="s">
        <v>582</v>
      </c>
    </row>
    <row r="251" spans="2:5">
      <c r="B251" s="139">
        <v>343</v>
      </c>
      <c r="D251" s="127" t="s">
        <v>236</v>
      </c>
      <c r="E251" s="140" t="s">
        <v>765</v>
      </c>
    </row>
    <row r="252" spans="2:5">
      <c r="B252" s="139">
        <v>344</v>
      </c>
      <c r="D252" s="127" t="s">
        <v>237</v>
      </c>
      <c r="E252" s="140" t="s">
        <v>583</v>
      </c>
    </row>
    <row r="253" spans="2:5">
      <c r="B253" s="139">
        <v>345</v>
      </c>
      <c r="D253" s="127" t="s">
        <v>238</v>
      </c>
      <c r="E253" s="140" t="s">
        <v>766</v>
      </c>
    </row>
    <row r="254" spans="2:5">
      <c r="B254" s="139">
        <v>346</v>
      </c>
      <c r="D254" s="127" t="s">
        <v>239</v>
      </c>
      <c r="E254" s="140" t="s">
        <v>767</v>
      </c>
    </row>
    <row r="255" spans="2:5">
      <c r="B255" s="139">
        <v>347</v>
      </c>
      <c r="D255" s="127" t="s">
        <v>503</v>
      </c>
      <c r="E255" s="140" t="s">
        <v>503</v>
      </c>
    </row>
    <row r="256" spans="2:5">
      <c r="B256" s="139">
        <v>348</v>
      </c>
      <c r="D256" s="127" t="s">
        <v>240</v>
      </c>
      <c r="E256" s="140" t="s">
        <v>584</v>
      </c>
    </row>
    <row r="257" spans="2:5" ht="24">
      <c r="B257" s="139">
        <v>349</v>
      </c>
      <c r="D257" s="127" t="s">
        <v>241</v>
      </c>
      <c r="E257" s="140" t="s">
        <v>768</v>
      </c>
    </row>
    <row r="258" spans="2:5">
      <c r="B258" s="139">
        <v>350</v>
      </c>
      <c r="D258" s="127" t="s">
        <v>242</v>
      </c>
      <c r="E258" s="140" t="s">
        <v>769</v>
      </c>
    </row>
    <row r="259" spans="2:5" ht="24">
      <c r="B259" s="139">
        <v>351</v>
      </c>
      <c r="D259" s="127" t="s">
        <v>243</v>
      </c>
      <c r="E259" s="140" t="s">
        <v>770</v>
      </c>
    </row>
    <row r="260" spans="2:5" ht="12.75">
      <c r="B260" s="139">
        <v>352</v>
      </c>
      <c r="D260" s="134" t="s">
        <v>973</v>
      </c>
      <c r="E260" s="167" t="s">
        <v>974</v>
      </c>
    </row>
    <row r="261" spans="2:5">
      <c r="B261" s="139">
        <v>353</v>
      </c>
      <c r="D261" s="127" t="s">
        <v>504</v>
      </c>
      <c r="E261" s="140" t="s">
        <v>585</v>
      </c>
    </row>
    <row r="262" spans="2:5">
      <c r="B262" s="139">
        <v>354</v>
      </c>
      <c r="D262" s="127" t="s">
        <v>244</v>
      </c>
      <c r="E262" s="140" t="s">
        <v>771</v>
      </c>
    </row>
    <row r="263" spans="2:5">
      <c r="B263" s="139">
        <v>355</v>
      </c>
      <c r="D263" s="127" t="s">
        <v>505</v>
      </c>
      <c r="E263" s="140" t="s">
        <v>772</v>
      </c>
    </row>
    <row r="264" spans="2:5">
      <c r="B264" s="139">
        <v>356</v>
      </c>
      <c r="D264" s="127" t="s">
        <v>245</v>
      </c>
      <c r="E264" s="140" t="s">
        <v>586</v>
      </c>
    </row>
    <row r="265" spans="2:5">
      <c r="B265" s="139">
        <v>357</v>
      </c>
      <c r="D265" s="127" t="s">
        <v>246</v>
      </c>
      <c r="E265" s="140" t="s">
        <v>587</v>
      </c>
    </row>
    <row r="266" spans="2:5">
      <c r="B266" s="139">
        <v>358</v>
      </c>
      <c r="D266" s="127" t="s">
        <v>247</v>
      </c>
      <c r="E266" s="140" t="s">
        <v>773</v>
      </c>
    </row>
    <row r="267" spans="2:5">
      <c r="B267" s="139">
        <v>359</v>
      </c>
      <c r="D267" s="127" t="s">
        <v>248</v>
      </c>
      <c r="E267" s="140" t="s">
        <v>774</v>
      </c>
    </row>
    <row r="268" spans="2:5">
      <c r="B268" s="139">
        <v>360</v>
      </c>
      <c r="D268" s="127" t="s">
        <v>249</v>
      </c>
      <c r="E268" s="140" t="s">
        <v>775</v>
      </c>
    </row>
    <row r="269" spans="2:5">
      <c r="B269" s="139">
        <v>361</v>
      </c>
      <c r="D269" s="127" t="s">
        <v>250</v>
      </c>
    </row>
    <row r="270" spans="2:5">
      <c r="B270" s="139">
        <v>362</v>
      </c>
      <c r="D270" s="127" t="s">
        <v>506</v>
      </c>
      <c r="E270" s="140" t="s">
        <v>776</v>
      </c>
    </row>
    <row r="271" spans="2:5" ht="24">
      <c r="B271" s="139">
        <v>363</v>
      </c>
      <c r="D271" s="127" t="s">
        <v>507</v>
      </c>
      <c r="E271" s="140" t="s">
        <v>777</v>
      </c>
    </row>
    <row r="272" spans="2:5" ht="24">
      <c r="B272" s="139">
        <v>364</v>
      </c>
      <c r="D272" s="127" t="s">
        <v>251</v>
      </c>
      <c r="E272" s="140" t="s">
        <v>778</v>
      </c>
    </row>
    <row r="273" spans="2:5">
      <c r="B273" s="139">
        <v>365</v>
      </c>
      <c r="D273" s="127" t="s">
        <v>252</v>
      </c>
      <c r="E273" s="140" t="s">
        <v>779</v>
      </c>
    </row>
    <row r="274" spans="2:5">
      <c r="B274" s="139">
        <v>366</v>
      </c>
      <c r="D274" s="127" t="s">
        <v>253</v>
      </c>
      <c r="E274" s="140" t="s">
        <v>780</v>
      </c>
    </row>
    <row r="275" spans="2:5">
      <c r="B275" s="139">
        <v>367</v>
      </c>
      <c r="D275" s="127" t="s">
        <v>254</v>
      </c>
      <c r="E275" s="140" t="s">
        <v>588</v>
      </c>
    </row>
    <row r="276" spans="2:5">
      <c r="B276" s="139">
        <v>368</v>
      </c>
      <c r="D276" s="127" t="s">
        <v>255</v>
      </c>
      <c r="E276" s="140" t="s">
        <v>589</v>
      </c>
    </row>
    <row r="277" spans="2:5">
      <c r="B277" s="139">
        <v>369</v>
      </c>
      <c r="D277" s="127" t="s">
        <v>256</v>
      </c>
      <c r="E277" s="140" t="s">
        <v>781</v>
      </c>
    </row>
    <row r="278" spans="2:5">
      <c r="B278" s="139">
        <v>370</v>
      </c>
      <c r="D278" s="127" t="s">
        <v>257</v>
      </c>
      <c r="E278" s="140" t="s">
        <v>590</v>
      </c>
    </row>
    <row r="279" spans="2:5">
      <c r="B279" s="139">
        <v>371</v>
      </c>
      <c r="D279" s="127" t="s">
        <v>258</v>
      </c>
      <c r="E279" s="140" t="s">
        <v>782</v>
      </c>
    </row>
    <row r="280" spans="2:5">
      <c r="B280" s="139">
        <v>372</v>
      </c>
      <c r="D280" s="127" t="s">
        <v>259</v>
      </c>
      <c r="E280" s="140" t="s">
        <v>591</v>
      </c>
    </row>
    <row r="281" spans="2:5">
      <c r="B281" s="139">
        <v>373</v>
      </c>
      <c r="D281" s="127" t="s">
        <v>260</v>
      </c>
      <c r="E281" s="140" t="s">
        <v>592</v>
      </c>
    </row>
    <row r="282" spans="2:5">
      <c r="B282" s="139">
        <v>374</v>
      </c>
      <c r="D282" s="127" t="s">
        <v>261</v>
      </c>
      <c r="E282" s="140" t="s">
        <v>783</v>
      </c>
    </row>
    <row r="283" spans="2:5">
      <c r="B283" s="139">
        <v>375</v>
      </c>
      <c r="D283" s="127" t="s">
        <v>262</v>
      </c>
      <c r="E283" s="140" t="s">
        <v>784</v>
      </c>
    </row>
    <row r="284" spans="2:5">
      <c r="B284" s="139">
        <v>376</v>
      </c>
      <c r="D284" s="127" t="s">
        <v>263</v>
      </c>
      <c r="E284" s="140" t="s">
        <v>785</v>
      </c>
    </row>
    <row r="285" spans="2:5">
      <c r="B285" s="139">
        <v>377</v>
      </c>
      <c r="D285" s="127" t="s">
        <v>264</v>
      </c>
      <c r="E285" s="140" t="s">
        <v>786</v>
      </c>
    </row>
    <row r="286" spans="2:5">
      <c r="B286" s="139">
        <v>378</v>
      </c>
      <c r="D286" s="127" t="s">
        <v>265</v>
      </c>
      <c r="E286" s="140" t="s">
        <v>593</v>
      </c>
    </row>
    <row r="287" spans="2:5">
      <c r="B287" s="139">
        <v>379</v>
      </c>
      <c r="D287" s="127" t="s">
        <v>266</v>
      </c>
      <c r="E287" s="140" t="s">
        <v>975</v>
      </c>
    </row>
    <row r="288" spans="2:5">
      <c r="B288" s="139">
        <v>380</v>
      </c>
      <c r="D288" s="127" t="s">
        <v>267</v>
      </c>
      <c r="E288" s="140" t="s">
        <v>787</v>
      </c>
    </row>
    <row r="289" spans="2:5">
      <c r="B289" s="139">
        <v>381</v>
      </c>
      <c r="D289" s="127" t="s">
        <v>268</v>
      </c>
      <c r="E289" s="140" t="s">
        <v>594</v>
      </c>
    </row>
    <row r="290" spans="2:5" ht="36">
      <c r="B290" s="139">
        <v>382</v>
      </c>
      <c r="D290" s="127" t="s">
        <v>269</v>
      </c>
      <c r="E290" s="140" t="s">
        <v>788</v>
      </c>
    </row>
    <row r="291" spans="2:5">
      <c r="B291" s="139">
        <v>383</v>
      </c>
      <c r="D291" s="127" t="s">
        <v>270</v>
      </c>
      <c r="E291" s="140" t="s">
        <v>789</v>
      </c>
    </row>
    <row r="292" spans="2:5" ht="24">
      <c r="B292" s="139">
        <v>384</v>
      </c>
      <c r="D292" s="127" t="s">
        <v>271</v>
      </c>
      <c r="E292" s="140" t="s">
        <v>790</v>
      </c>
    </row>
    <row r="293" spans="2:5">
      <c r="B293" s="139">
        <v>385</v>
      </c>
      <c r="D293" s="127" t="s">
        <v>272</v>
      </c>
      <c r="E293" s="140" t="s">
        <v>791</v>
      </c>
    </row>
    <row r="294" spans="2:5" ht="24">
      <c r="B294" s="139">
        <v>386</v>
      </c>
      <c r="D294" s="127" t="s">
        <v>273</v>
      </c>
      <c r="E294" s="140" t="s">
        <v>792</v>
      </c>
    </row>
    <row r="295" spans="2:5" ht="24">
      <c r="B295" s="139">
        <v>387</v>
      </c>
      <c r="D295" s="127" t="s">
        <v>274</v>
      </c>
      <c r="E295" s="140" t="s">
        <v>793</v>
      </c>
    </row>
    <row r="296" spans="2:5" ht="24">
      <c r="B296" s="139">
        <v>388</v>
      </c>
      <c r="D296" s="127" t="s">
        <v>275</v>
      </c>
      <c r="E296" s="140" t="s">
        <v>794</v>
      </c>
    </row>
    <row r="297" spans="2:5" ht="24">
      <c r="B297" s="139">
        <v>389</v>
      </c>
      <c r="D297" s="127" t="s">
        <v>276</v>
      </c>
      <c r="E297" s="140" t="s">
        <v>795</v>
      </c>
    </row>
    <row r="298" spans="2:5" ht="24">
      <c r="B298" s="139">
        <v>390</v>
      </c>
      <c r="D298" s="127" t="s">
        <v>277</v>
      </c>
      <c r="E298" s="140" t="s">
        <v>796</v>
      </c>
    </row>
    <row r="299" spans="2:5" ht="24">
      <c r="B299" s="139">
        <v>391</v>
      </c>
      <c r="D299" s="127" t="s">
        <v>278</v>
      </c>
      <c r="E299" s="140" t="s">
        <v>797</v>
      </c>
    </row>
    <row r="300" spans="2:5" ht="24">
      <c r="B300" s="139">
        <v>392</v>
      </c>
      <c r="D300" s="127" t="s">
        <v>279</v>
      </c>
      <c r="E300" s="140" t="s">
        <v>798</v>
      </c>
    </row>
    <row r="301" spans="2:5" ht="24">
      <c r="B301" s="139">
        <v>393</v>
      </c>
      <c r="D301" s="127" t="s">
        <v>280</v>
      </c>
      <c r="E301" s="140" t="s">
        <v>799</v>
      </c>
    </row>
    <row r="302" spans="2:5" ht="24">
      <c r="B302" s="139">
        <v>394</v>
      </c>
      <c r="D302" s="127" t="s">
        <v>281</v>
      </c>
      <c r="E302" s="140" t="s">
        <v>800</v>
      </c>
    </row>
    <row r="303" spans="2:5" ht="24">
      <c r="B303" s="139">
        <v>395</v>
      </c>
      <c r="D303" s="127" t="s">
        <v>282</v>
      </c>
      <c r="E303" s="140" t="s">
        <v>801</v>
      </c>
    </row>
    <row r="304" spans="2:5" ht="24">
      <c r="B304" s="139">
        <v>396</v>
      </c>
      <c r="D304" s="127" t="s">
        <v>283</v>
      </c>
      <c r="E304" s="140" t="s">
        <v>802</v>
      </c>
    </row>
    <row r="305" spans="2:5" ht="24">
      <c r="B305" s="139">
        <v>397</v>
      </c>
      <c r="D305" s="127" t="s">
        <v>284</v>
      </c>
      <c r="E305" s="140" t="s">
        <v>803</v>
      </c>
    </row>
    <row r="306" spans="2:5" ht="24">
      <c r="B306" s="139">
        <v>398</v>
      </c>
      <c r="D306" s="127" t="s">
        <v>285</v>
      </c>
      <c r="E306" s="140" t="s">
        <v>804</v>
      </c>
    </row>
    <row r="307" spans="2:5" ht="24">
      <c r="B307" s="139">
        <v>399</v>
      </c>
      <c r="D307" s="127" t="s">
        <v>286</v>
      </c>
      <c r="E307" s="140" t="s">
        <v>805</v>
      </c>
    </row>
    <row r="308" spans="2:5" ht="24">
      <c r="B308" s="139">
        <v>400</v>
      </c>
      <c r="D308" s="127" t="s">
        <v>287</v>
      </c>
      <c r="E308" s="140" t="s">
        <v>806</v>
      </c>
    </row>
    <row r="309" spans="2:5" ht="24">
      <c r="B309" s="139">
        <v>401</v>
      </c>
      <c r="D309" s="127" t="s">
        <v>288</v>
      </c>
      <c r="E309" s="140" t="s">
        <v>807</v>
      </c>
    </row>
    <row r="310" spans="2:5" ht="24">
      <c r="B310" s="139">
        <v>402</v>
      </c>
      <c r="D310" s="127" t="s">
        <v>289</v>
      </c>
      <c r="E310" s="140" t="s">
        <v>808</v>
      </c>
    </row>
    <row r="311" spans="2:5" ht="24">
      <c r="B311" s="139">
        <v>403</v>
      </c>
      <c r="D311" s="127" t="s">
        <v>290</v>
      </c>
      <c r="E311" s="140" t="s">
        <v>809</v>
      </c>
    </row>
    <row r="312" spans="2:5" ht="24">
      <c r="B312" s="139">
        <v>404</v>
      </c>
      <c r="D312" s="127" t="s">
        <v>291</v>
      </c>
      <c r="E312" s="140" t="s">
        <v>810</v>
      </c>
    </row>
    <row r="313" spans="2:5">
      <c r="B313" s="139">
        <v>405</v>
      </c>
      <c r="D313" s="127" t="s">
        <v>508</v>
      </c>
      <c r="E313" s="140" t="s">
        <v>811</v>
      </c>
    </row>
    <row r="314" spans="2:5">
      <c r="B314" s="139">
        <v>406</v>
      </c>
      <c r="D314" s="127" t="s">
        <v>509</v>
      </c>
      <c r="E314" s="140" t="s">
        <v>811</v>
      </c>
    </row>
    <row r="315" spans="2:5">
      <c r="B315" s="139">
        <v>407</v>
      </c>
      <c r="D315" s="127" t="s">
        <v>292</v>
      </c>
      <c r="E315" s="140" t="s">
        <v>812</v>
      </c>
    </row>
    <row r="316" spans="2:5" ht="24">
      <c r="B316" s="139">
        <v>408</v>
      </c>
      <c r="D316" s="127" t="s">
        <v>293</v>
      </c>
      <c r="E316" s="140" t="s">
        <v>813</v>
      </c>
    </row>
    <row r="317" spans="2:5">
      <c r="B317" s="139">
        <v>409</v>
      </c>
      <c r="D317" s="127" t="s">
        <v>294</v>
      </c>
      <c r="E317" s="140" t="s">
        <v>814</v>
      </c>
    </row>
    <row r="318" spans="2:5" ht="24">
      <c r="B318" s="139">
        <v>410</v>
      </c>
      <c r="D318" s="127" t="s">
        <v>295</v>
      </c>
      <c r="E318" s="140" t="s">
        <v>815</v>
      </c>
    </row>
    <row r="319" spans="2:5">
      <c r="B319" s="139">
        <v>411</v>
      </c>
      <c r="D319" s="127" t="s">
        <v>510</v>
      </c>
      <c r="E319" s="140" t="s">
        <v>816</v>
      </c>
    </row>
    <row r="320" spans="2:5" ht="24">
      <c r="B320" s="139">
        <v>412</v>
      </c>
      <c r="D320" s="127" t="s">
        <v>511</v>
      </c>
      <c r="E320" s="140" t="s">
        <v>817</v>
      </c>
    </row>
    <row r="321" spans="1:6">
      <c r="B321" s="139">
        <v>413</v>
      </c>
      <c r="D321" s="127" t="s">
        <v>296</v>
      </c>
      <c r="E321" s="140" t="s">
        <v>818</v>
      </c>
    </row>
    <row r="322" spans="1:6" ht="24">
      <c r="B322" s="139">
        <v>414</v>
      </c>
      <c r="D322" s="127" t="s">
        <v>297</v>
      </c>
      <c r="E322" s="140" t="s">
        <v>819</v>
      </c>
    </row>
    <row r="323" spans="1:6">
      <c r="B323" s="139">
        <v>415</v>
      </c>
      <c r="D323" s="127" t="s">
        <v>298</v>
      </c>
      <c r="E323" s="140" t="s">
        <v>820</v>
      </c>
    </row>
    <row r="324" spans="1:6" ht="36">
      <c r="B324" s="139">
        <v>416</v>
      </c>
      <c r="D324" s="127" t="s">
        <v>299</v>
      </c>
      <c r="E324" s="140" t="s">
        <v>821</v>
      </c>
    </row>
    <row r="325" spans="1:6">
      <c r="B325" s="139">
        <v>417</v>
      </c>
      <c r="D325" s="127" t="s">
        <v>300</v>
      </c>
      <c r="E325" s="140" t="s">
        <v>822</v>
      </c>
    </row>
    <row r="326" spans="1:6" ht="24">
      <c r="B326" s="139">
        <v>418</v>
      </c>
      <c r="D326" s="127" t="s">
        <v>301</v>
      </c>
      <c r="E326" s="140" t="s">
        <v>823</v>
      </c>
    </row>
    <row r="327" spans="1:6" ht="24">
      <c r="B327" s="139">
        <v>419</v>
      </c>
      <c r="D327" s="127" t="s">
        <v>302</v>
      </c>
      <c r="E327" s="140" t="s">
        <v>824</v>
      </c>
    </row>
    <row r="328" spans="1:6" ht="24">
      <c r="B328" s="139">
        <v>420</v>
      </c>
      <c r="D328" s="127" t="s">
        <v>303</v>
      </c>
      <c r="E328" s="140" t="s">
        <v>825</v>
      </c>
    </row>
    <row r="329" spans="1:6">
      <c r="B329" s="139">
        <v>421</v>
      </c>
      <c r="D329" s="127" t="s">
        <v>304</v>
      </c>
      <c r="E329" s="140" t="s">
        <v>826</v>
      </c>
    </row>
    <row r="330" spans="1:6">
      <c r="B330" s="139">
        <v>422</v>
      </c>
      <c r="D330" s="127" t="s">
        <v>305</v>
      </c>
      <c r="E330" s="140" t="s">
        <v>827</v>
      </c>
    </row>
    <row r="331" spans="1:6">
      <c r="B331" s="139">
        <v>423</v>
      </c>
      <c r="D331" s="127" t="s">
        <v>306</v>
      </c>
      <c r="E331" s="140" t="s">
        <v>828</v>
      </c>
    </row>
    <row r="332" spans="1:6">
      <c r="B332" s="139">
        <v>424</v>
      </c>
      <c r="D332" s="127" t="s">
        <v>307</v>
      </c>
      <c r="E332" s="140" t="s">
        <v>829</v>
      </c>
    </row>
    <row r="333" spans="1:6">
      <c r="B333" s="139">
        <v>425</v>
      </c>
      <c r="D333" s="127" t="s">
        <v>308</v>
      </c>
      <c r="E333" s="140" t="s">
        <v>830</v>
      </c>
    </row>
    <row r="334" spans="1:6">
      <c r="B334" s="139">
        <v>426</v>
      </c>
      <c r="D334" s="127" t="s">
        <v>309</v>
      </c>
      <c r="E334" s="140" t="s">
        <v>831</v>
      </c>
    </row>
    <row r="335" spans="1:6">
      <c r="B335" s="139">
        <v>427</v>
      </c>
      <c r="D335" s="127" t="s">
        <v>512</v>
      </c>
      <c r="E335" s="140" t="s">
        <v>832</v>
      </c>
    </row>
    <row r="336" spans="1:6" ht="38.25">
      <c r="A336" s="134"/>
      <c r="B336" s="139">
        <v>428</v>
      </c>
      <c r="C336" s="137" t="s">
        <v>940</v>
      </c>
      <c r="D336" s="134" t="s">
        <v>976</v>
      </c>
      <c r="E336" s="134" t="s">
        <v>977</v>
      </c>
      <c r="F336" s="135"/>
    </row>
    <row r="337" spans="2:5" ht="36">
      <c r="B337" s="139">
        <v>429</v>
      </c>
      <c r="D337" s="127" t="s">
        <v>310</v>
      </c>
      <c r="E337" s="140" t="s">
        <v>833</v>
      </c>
    </row>
    <row r="338" spans="2:5">
      <c r="B338" s="139">
        <v>430</v>
      </c>
      <c r="D338" s="127" t="s">
        <v>311</v>
      </c>
      <c r="E338" s="140" t="s">
        <v>834</v>
      </c>
    </row>
    <row r="339" spans="2:5">
      <c r="B339" s="139">
        <v>431</v>
      </c>
      <c r="D339" s="127" t="s">
        <v>312</v>
      </c>
      <c r="E339" s="140" t="s">
        <v>835</v>
      </c>
    </row>
    <row r="340" spans="2:5">
      <c r="B340" s="139">
        <v>432</v>
      </c>
      <c r="D340" s="127" t="s">
        <v>313</v>
      </c>
      <c r="E340" s="140" t="s">
        <v>836</v>
      </c>
    </row>
    <row r="341" spans="2:5" ht="24">
      <c r="B341" s="139">
        <v>433</v>
      </c>
      <c r="D341" s="127" t="s">
        <v>314</v>
      </c>
      <c r="E341" s="140" t="s">
        <v>837</v>
      </c>
    </row>
    <row r="342" spans="2:5">
      <c r="B342" s="139">
        <v>434</v>
      </c>
      <c r="D342" s="127" t="s">
        <v>315</v>
      </c>
      <c r="E342" s="140" t="s">
        <v>838</v>
      </c>
    </row>
    <row r="343" spans="2:5">
      <c r="B343" s="139">
        <v>435</v>
      </c>
      <c r="D343" s="127" t="s">
        <v>316</v>
      </c>
      <c r="E343" s="140" t="s">
        <v>839</v>
      </c>
    </row>
    <row r="344" spans="2:5">
      <c r="B344" s="139">
        <v>436</v>
      </c>
      <c r="D344" s="127" t="s">
        <v>317</v>
      </c>
      <c r="E344" s="140" t="s">
        <v>840</v>
      </c>
    </row>
    <row r="345" spans="2:5">
      <c r="B345" s="139">
        <v>437</v>
      </c>
      <c r="D345" s="127" t="s">
        <v>318</v>
      </c>
      <c r="E345" s="140" t="s">
        <v>841</v>
      </c>
    </row>
    <row r="346" spans="2:5">
      <c r="B346" s="139">
        <v>438</v>
      </c>
      <c r="D346" s="127" t="s">
        <v>513</v>
      </c>
      <c r="E346" s="140" t="s">
        <v>842</v>
      </c>
    </row>
    <row r="347" spans="2:5">
      <c r="B347" s="139">
        <v>439</v>
      </c>
      <c r="D347" s="127" t="s">
        <v>319</v>
      </c>
      <c r="E347" s="140" t="s">
        <v>843</v>
      </c>
    </row>
    <row r="348" spans="2:5">
      <c r="B348" s="139">
        <v>440</v>
      </c>
      <c r="D348" s="127" t="s">
        <v>514</v>
      </c>
      <c r="E348" s="140" t="s">
        <v>844</v>
      </c>
    </row>
    <row r="349" spans="2:5" ht="24">
      <c r="B349" s="139">
        <v>441</v>
      </c>
      <c r="D349" s="127" t="s">
        <v>320</v>
      </c>
      <c r="E349" s="140" t="s">
        <v>845</v>
      </c>
    </row>
    <row r="350" spans="2:5">
      <c r="B350" s="139">
        <v>442</v>
      </c>
      <c r="D350" s="127" t="s">
        <v>321</v>
      </c>
      <c r="E350" s="140" t="s">
        <v>846</v>
      </c>
    </row>
    <row r="351" spans="2:5">
      <c r="B351" s="139">
        <v>443</v>
      </c>
      <c r="D351" s="127" t="s">
        <v>322</v>
      </c>
      <c r="E351" s="140" t="s">
        <v>847</v>
      </c>
    </row>
    <row r="352" spans="2:5">
      <c r="B352" s="139">
        <v>444</v>
      </c>
      <c r="D352" s="127" t="s">
        <v>323</v>
      </c>
      <c r="E352" s="140" t="s">
        <v>848</v>
      </c>
    </row>
    <row r="353" spans="2:5" ht="36">
      <c r="B353" s="139">
        <v>445</v>
      </c>
      <c r="D353" s="127" t="s">
        <v>390</v>
      </c>
      <c r="E353" s="140" t="s">
        <v>849</v>
      </c>
    </row>
    <row r="354" spans="2:5">
      <c r="B354" s="139">
        <v>446</v>
      </c>
      <c r="D354" s="127" t="s">
        <v>324</v>
      </c>
      <c r="E354" s="140" t="s">
        <v>850</v>
      </c>
    </row>
    <row r="355" spans="2:5">
      <c r="B355" s="139">
        <v>447</v>
      </c>
      <c r="D355" s="127" t="s">
        <v>325</v>
      </c>
      <c r="E355" s="140" t="s">
        <v>851</v>
      </c>
    </row>
    <row r="356" spans="2:5">
      <c r="B356" s="139">
        <v>448</v>
      </c>
      <c r="D356" s="127" t="s">
        <v>326</v>
      </c>
      <c r="E356" s="140" t="s">
        <v>852</v>
      </c>
    </row>
    <row r="357" spans="2:5">
      <c r="B357" s="139">
        <v>449</v>
      </c>
      <c r="D357" s="127" t="s">
        <v>327</v>
      </c>
      <c r="E357" s="140" t="s">
        <v>853</v>
      </c>
    </row>
    <row r="358" spans="2:5">
      <c r="B358" s="139">
        <v>450</v>
      </c>
      <c r="D358" s="127" t="s">
        <v>328</v>
      </c>
      <c r="E358" s="140" t="s">
        <v>854</v>
      </c>
    </row>
    <row r="359" spans="2:5" ht="24">
      <c r="B359" s="139">
        <v>451</v>
      </c>
      <c r="D359" s="127" t="s">
        <v>329</v>
      </c>
      <c r="E359" s="140" t="s">
        <v>855</v>
      </c>
    </row>
    <row r="360" spans="2:5">
      <c r="B360" s="139">
        <v>452</v>
      </c>
      <c r="D360" s="127" t="s">
        <v>330</v>
      </c>
      <c r="E360" s="140" t="s">
        <v>856</v>
      </c>
    </row>
    <row r="361" spans="2:5">
      <c r="B361" s="139">
        <v>453</v>
      </c>
      <c r="D361" s="127" t="s">
        <v>331</v>
      </c>
      <c r="E361" s="140" t="s">
        <v>857</v>
      </c>
    </row>
    <row r="362" spans="2:5">
      <c r="B362" s="139">
        <v>454</v>
      </c>
      <c r="D362" s="127" t="s">
        <v>332</v>
      </c>
      <c r="E362" s="140" t="s">
        <v>858</v>
      </c>
    </row>
    <row r="363" spans="2:5" ht="24">
      <c r="B363" s="139">
        <v>455</v>
      </c>
      <c r="D363" s="127" t="s">
        <v>515</v>
      </c>
      <c r="E363" s="140" t="s">
        <v>859</v>
      </c>
    </row>
    <row r="364" spans="2:5">
      <c r="B364" s="139">
        <v>456</v>
      </c>
      <c r="D364" s="127" t="s">
        <v>333</v>
      </c>
      <c r="E364" s="140" t="s">
        <v>595</v>
      </c>
    </row>
    <row r="365" spans="2:5">
      <c r="B365" s="139">
        <v>457</v>
      </c>
      <c r="D365" s="127" t="s">
        <v>334</v>
      </c>
      <c r="E365" s="140" t="s">
        <v>860</v>
      </c>
    </row>
    <row r="366" spans="2:5">
      <c r="B366" s="139">
        <v>458</v>
      </c>
      <c r="D366" s="127" t="s">
        <v>335</v>
      </c>
      <c r="E366" s="140" t="s">
        <v>861</v>
      </c>
    </row>
    <row r="367" spans="2:5">
      <c r="B367" s="139">
        <v>459</v>
      </c>
      <c r="D367" s="127" t="s">
        <v>516</v>
      </c>
      <c r="E367" s="140" t="s">
        <v>862</v>
      </c>
    </row>
    <row r="368" spans="2:5" ht="36">
      <c r="B368" s="139">
        <v>460</v>
      </c>
      <c r="D368" s="127" t="s">
        <v>517</v>
      </c>
      <c r="E368" s="140" t="s">
        <v>863</v>
      </c>
    </row>
    <row r="369" spans="1:6">
      <c r="B369" s="139">
        <v>461</v>
      </c>
      <c r="D369" s="127" t="s">
        <v>336</v>
      </c>
      <c r="E369" s="140" t="s">
        <v>596</v>
      </c>
    </row>
    <row r="370" spans="1:6">
      <c r="B370" s="139">
        <v>462</v>
      </c>
      <c r="D370" s="127" t="s">
        <v>337</v>
      </c>
      <c r="E370" s="140" t="s">
        <v>864</v>
      </c>
    </row>
    <row r="371" spans="1:6">
      <c r="B371" s="139">
        <v>463</v>
      </c>
      <c r="D371" s="127" t="s">
        <v>338</v>
      </c>
      <c r="E371" s="140" t="s">
        <v>865</v>
      </c>
    </row>
    <row r="372" spans="1:6" ht="36">
      <c r="B372" s="139">
        <v>464</v>
      </c>
      <c r="D372" s="127" t="s">
        <v>339</v>
      </c>
      <c r="E372" s="140" t="s">
        <v>866</v>
      </c>
    </row>
    <row r="373" spans="1:6">
      <c r="B373" s="139">
        <v>465</v>
      </c>
      <c r="D373" s="127" t="s">
        <v>340</v>
      </c>
      <c r="E373" s="140" t="s">
        <v>867</v>
      </c>
    </row>
    <row r="374" spans="1:6">
      <c r="A374" s="129"/>
      <c r="B374" s="139">
        <v>466</v>
      </c>
      <c r="C374" s="138" t="s">
        <v>526</v>
      </c>
      <c r="D374" s="128" t="s">
        <v>920</v>
      </c>
      <c r="E374" s="128" t="s">
        <v>978</v>
      </c>
      <c r="F374" s="130"/>
    </row>
    <row r="375" spans="1:6">
      <c r="A375" s="129"/>
      <c r="B375" s="139">
        <v>467</v>
      </c>
      <c r="C375" s="138" t="s">
        <v>526</v>
      </c>
      <c r="D375" s="128" t="s">
        <v>979</v>
      </c>
      <c r="E375" s="128" t="s">
        <v>921</v>
      </c>
      <c r="F375" s="130"/>
    </row>
    <row r="376" spans="1:6" ht="12.75">
      <c r="B376" s="139">
        <v>468</v>
      </c>
      <c r="D376" s="127" t="s">
        <v>341</v>
      </c>
      <c r="E376" s="168" t="s">
        <v>927</v>
      </c>
    </row>
    <row r="377" spans="1:6">
      <c r="B377" s="139">
        <v>469</v>
      </c>
      <c r="D377" s="127" t="s">
        <v>342</v>
      </c>
      <c r="E377" s="140" t="s">
        <v>868</v>
      </c>
    </row>
    <row r="378" spans="1:6">
      <c r="B378" s="139">
        <v>470</v>
      </c>
      <c r="D378" s="127" t="s">
        <v>343</v>
      </c>
      <c r="E378" s="140" t="s">
        <v>597</v>
      </c>
    </row>
    <row r="379" spans="1:6" ht="24">
      <c r="B379" s="139">
        <v>471</v>
      </c>
      <c r="D379" s="127" t="s">
        <v>344</v>
      </c>
      <c r="E379" s="140" t="s">
        <v>869</v>
      </c>
    </row>
    <row r="380" spans="1:6">
      <c r="B380" s="139">
        <v>472</v>
      </c>
      <c r="D380" s="127" t="s">
        <v>345</v>
      </c>
      <c r="E380" s="140" t="s">
        <v>598</v>
      </c>
    </row>
    <row r="381" spans="1:6" ht="24">
      <c r="B381" s="139">
        <v>473</v>
      </c>
      <c r="D381" s="127" t="s">
        <v>346</v>
      </c>
      <c r="E381" s="140" t="s">
        <v>870</v>
      </c>
    </row>
    <row r="382" spans="1:6">
      <c r="B382" s="139">
        <v>474</v>
      </c>
      <c r="D382" s="127" t="s">
        <v>347</v>
      </c>
      <c r="E382" s="140" t="s">
        <v>599</v>
      </c>
    </row>
    <row r="383" spans="1:6">
      <c r="B383" s="139">
        <v>475</v>
      </c>
      <c r="D383" s="127" t="s">
        <v>348</v>
      </c>
      <c r="E383" s="140" t="s">
        <v>871</v>
      </c>
    </row>
    <row r="384" spans="1:6">
      <c r="B384" s="139">
        <v>476</v>
      </c>
      <c r="D384" s="127" t="s">
        <v>349</v>
      </c>
      <c r="E384" s="140" t="s">
        <v>872</v>
      </c>
    </row>
    <row r="385" spans="2:5">
      <c r="B385" s="139">
        <v>477</v>
      </c>
      <c r="D385" s="127" t="s">
        <v>350</v>
      </c>
      <c r="E385" s="140" t="s">
        <v>873</v>
      </c>
    </row>
    <row r="386" spans="2:5">
      <c r="B386" s="139">
        <v>478</v>
      </c>
      <c r="D386" s="127" t="s">
        <v>351</v>
      </c>
      <c r="E386" s="140" t="s">
        <v>874</v>
      </c>
    </row>
    <row r="387" spans="2:5">
      <c r="B387" s="139">
        <v>479</v>
      </c>
      <c r="D387" s="127" t="s">
        <v>352</v>
      </c>
      <c r="E387" s="140" t="s">
        <v>875</v>
      </c>
    </row>
    <row r="388" spans="2:5">
      <c r="B388" s="139">
        <v>480</v>
      </c>
      <c r="D388" s="127" t="s">
        <v>353</v>
      </c>
      <c r="E388" s="140" t="s">
        <v>353</v>
      </c>
    </row>
    <row r="389" spans="2:5">
      <c r="B389" s="139">
        <v>481</v>
      </c>
      <c r="D389" s="127" t="s">
        <v>518</v>
      </c>
      <c r="E389" s="140" t="s">
        <v>876</v>
      </c>
    </row>
    <row r="390" spans="2:5" ht="24">
      <c r="B390" s="139">
        <v>482</v>
      </c>
      <c r="D390" s="127" t="s">
        <v>354</v>
      </c>
      <c r="E390" s="140" t="s">
        <v>877</v>
      </c>
    </row>
    <row r="391" spans="2:5">
      <c r="B391" s="139">
        <v>483</v>
      </c>
      <c r="D391" s="127" t="s">
        <v>355</v>
      </c>
      <c r="E391" s="140" t="s">
        <v>355</v>
      </c>
    </row>
    <row r="392" spans="2:5">
      <c r="B392" s="139">
        <v>484</v>
      </c>
      <c r="D392" s="127" t="s">
        <v>519</v>
      </c>
    </row>
    <row r="393" spans="2:5">
      <c r="B393" s="139">
        <v>485</v>
      </c>
      <c r="D393" s="127" t="s">
        <v>356</v>
      </c>
      <c r="E393" s="140" t="s">
        <v>600</v>
      </c>
    </row>
    <row r="394" spans="2:5">
      <c r="B394" s="139">
        <v>486</v>
      </c>
      <c r="D394" s="127" t="s">
        <v>520</v>
      </c>
      <c r="E394" s="140" t="s">
        <v>601</v>
      </c>
    </row>
    <row r="395" spans="2:5">
      <c r="B395" s="139">
        <v>487</v>
      </c>
      <c r="D395" s="127" t="s">
        <v>521</v>
      </c>
      <c r="E395" s="140" t="s">
        <v>602</v>
      </c>
    </row>
    <row r="396" spans="2:5">
      <c r="B396" s="139">
        <v>488</v>
      </c>
      <c r="D396" s="127" t="s">
        <v>522</v>
      </c>
      <c r="E396" s="140" t="s">
        <v>601</v>
      </c>
    </row>
    <row r="397" spans="2:5">
      <c r="B397" s="139">
        <v>489</v>
      </c>
      <c r="D397" s="127" t="s">
        <v>357</v>
      </c>
      <c r="E397" s="140" t="s">
        <v>603</v>
      </c>
    </row>
    <row r="398" spans="2:5">
      <c r="B398" s="139">
        <v>490</v>
      </c>
      <c r="D398" s="127" t="s">
        <v>358</v>
      </c>
      <c r="E398" s="140" t="s">
        <v>878</v>
      </c>
    </row>
    <row r="399" spans="2:5">
      <c r="B399" s="139">
        <v>491</v>
      </c>
      <c r="D399" s="127" t="s">
        <v>359</v>
      </c>
      <c r="E399" s="140" t="s">
        <v>879</v>
      </c>
    </row>
    <row r="400" spans="2:5">
      <c r="B400" s="139">
        <v>492</v>
      </c>
      <c r="D400" s="127" t="s">
        <v>360</v>
      </c>
      <c r="E400" s="140" t="s">
        <v>604</v>
      </c>
    </row>
    <row r="401" spans="1:6">
      <c r="B401" s="139">
        <v>493</v>
      </c>
      <c r="D401" s="127" t="s">
        <v>361</v>
      </c>
    </row>
    <row r="402" spans="1:6">
      <c r="B402" s="139">
        <v>494</v>
      </c>
      <c r="D402" s="127" t="s">
        <v>362</v>
      </c>
    </row>
    <row r="403" spans="1:6">
      <c r="B403" s="139">
        <v>495</v>
      </c>
      <c r="D403" s="127" t="s">
        <v>363</v>
      </c>
      <c r="E403" s="140" t="s">
        <v>880</v>
      </c>
    </row>
    <row r="404" spans="1:6">
      <c r="B404" s="139">
        <v>496</v>
      </c>
      <c r="D404" s="127" t="s">
        <v>523</v>
      </c>
      <c r="E404" s="140" t="s">
        <v>881</v>
      </c>
    </row>
    <row r="405" spans="1:6">
      <c r="B405" s="139">
        <v>497</v>
      </c>
      <c r="D405" s="127" t="s">
        <v>364</v>
      </c>
      <c r="E405" s="140" t="s">
        <v>882</v>
      </c>
    </row>
    <row r="406" spans="1:6">
      <c r="B406" s="139">
        <v>498</v>
      </c>
      <c r="D406" s="127" t="s">
        <v>446</v>
      </c>
      <c r="E406" s="140" t="s">
        <v>883</v>
      </c>
    </row>
    <row r="407" spans="1:6">
      <c r="B407" s="139">
        <v>499</v>
      </c>
      <c r="D407" s="127" t="s">
        <v>365</v>
      </c>
      <c r="E407" s="140" t="s">
        <v>882</v>
      </c>
    </row>
    <row r="408" spans="1:6" ht="25.5">
      <c r="A408" s="134"/>
      <c r="B408" s="139">
        <v>500</v>
      </c>
      <c r="C408" s="134"/>
      <c r="D408" s="134" t="s">
        <v>980</v>
      </c>
      <c r="E408" s="134" t="s">
        <v>981</v>
      </c>
      <c r="F408" s="135"/>
    </row>
    <row r="409" spans="1:6">
      <c r="B409" s="139">
        <v>501</v>
      </c>
      <c r="D409" s="127" t="s">
        <v>366</v>
      </c>
      <c r="E409" s="140" t="s">
        <v>366</v>
      </c>
    </row>
    <row r="410" spans="1:6">
      <c r="B410" s="139">
        <v>502</v>
      </c>
      <c r="D410" s="127" t="s">
        <v>367</v>
      </c>
      <c r="E410" s="140" t="s">
        <v>884</v>
      </c>
    </row>
    <row r="411" spans="1:6">
      <c r="B411" s="139">
        <v>503</v>
      </c>
      <c r="D411" s="127" t="s">
        <v>368</v>
      </c>
      <c r="E411" s="140" t="s">
        <v>885</v>
      </c>
    </row>
    <row r="412" spans="1:6">
      <c r="B412" s="139">
        <v>504</v>
      </c>
      <c r="D412" s="127" t="s">
        <v>524</v>
      </c>
      <c r="E412" s="140" t="s">
        <v>886</v>
      </c>
    </row>
    <row r="413" spans="1:6">
      <c r="B413" s="139">
        <v>505</v>
      </c>
      <c r="D413" s="127" t="s">
        <v>369</v>
      </c>
      <c r="E413" s="140" t="s">
        <v>887</v>
      </c>
    </row>
    <row r="414" spans="1:6">
      <c r="B414" s="139">
        <v>506</v>
      </c>
      <c r="D414" s="127" t="s">
        <v>370</v>
      </c>
      <c r="E414" s="140" t="s">
        <v>888</v>
      </c>
    </row>
    <row r="415" spans="1:6">
      <c r="B415" s="139">
        <v>507</v>
      </c>
      <c r="D415" s="127" t="s">
        <v>371</v>
      </c>
      <c r="E415" s="140" t="s">
        <v>889</v>
      </c>
    </row>
    <row r="416" spans="1:6">
      <c r="B416" s="139">
        <v>508</v>
      </c>
      <c r="D416" s="127" t="s">
        <v>525</v>
      </c>
      <c r="E416" s="140" t="s">
        <v>890</v>
      </c>
    </row>
    <row r="417" spans="1:6" ht="24">
      <c r="B417" s="139">
        <v>509</v>
      </c>
      <c r="D417" s="127" t="s">
        <v>372</v>
      </c>
      <c r="E417" s="140" t="s">
        <v>891</v>
      </c>
    </row>
    <row r="418" spans="1:6">
      <c r="B418" s="139">
        <v>510</v>
      </c>
      <c r="D418" s="127" t="s">
        <v>373</v>
      </c>
      <c r="E418" s="140" t="s">
        <v>889</v>
      </c>
    </row>
    <row r="419" spans="1:6">
      <c r="B419" s="139">
        <v>511</v>
      </c>
      <c r="D419" s="127" t="s">
        <v>374</v>
      </c>
      <c r="E419" s="140" t="s">
        <v>892</v>
      </c>
    </row>
    <row r="420" spans="1:6">
      <c r="B420" s="139">
        <v>512</v>
      </c>
      <c r="D420" s="127" t="s">
        <v>375</v>
      </c>
      <c r="E420" s="140" t="s">
        <v>893</v>
      </c>
    </row>
    <row r="421" spans="1:6">
      <c r="B421" s="139">
        <v>513</v>
      </c>
      <c r="D421" s="127" t="s">
        <v>376</v>
      </c>
      <c r="E421" s="140" t="s">
        <v>894</v>
      </c>
    </row>
    <row r="422" spans="1:6" s="134" customFormat="1" ht="12.75">
      <c r="A422" s="126"/>
      <c r="B422" s="139">
        <v>514</v>
      </c>
      <c r="C422" s="136"/>
      <c r="D422" s="127" t="s">
        <v>377</v>
      </c>
      <c r="E422" s="140" t="s">
        <v>895</v>
      </c>
      <c r="F422" s="126"/>
    </row>
    <row r="423" spans="1:6" s="134" customFormat="1" ht="12.75">
      <c r="A423" s="126"/>
      <c r="B423" s="139">
        <v>515</v>
      </c>
      <c r="C423" s="136"/>
      <c r="D423" s="127" t="s">
        <v>378</v>
      </c>
      <c r="E423" s="140" t="s">
        <v>896</v>
      </c>
      <c r="F423" s="126"/>
    </row>
    <row r="424" spans="1:6" s="129" customFormat="1">
      <c r="A424" s="126"/>
      <c r="B424" s="139">
        <v>516</v>
      </c>
      <c r="C424" s="136"/>
      <c r="D424" s="127" t="s">
        <v>379</v>
      </c>
      <c r="E424" s="140" t="s">
        <v>888</v>
      </c>
      <c r="F424" s="126"/>
    </row>
    <row r="425" spans="1:6" s="129" customFormat="1" ht="24">
      <c r="A425" s="126"/>
      <c r="B425" s="139">
        <v>517</v>
      </c>
      <c r="C425" s="136"/>
      <c r="D425" s="127" t="s">
        <v>380</v>
      </c>
      <c r="E425" s="140" t="s">
        <v>897</v>
      </c>
      <c r="F425" s="126"/>
    </row>
    <row r="426" spans="1:6" s="129" customFormat="1" ht="36">
      <c r="A426" s="126"/>
      <c r="B426" s="139">
        <v>518</v>
      </c>
      <c r="C426" s="136"/>
      <c r="D426" s="127" t="s">
        <v>381</v>
      </c>
      <c r="E426" s="140" t="s">
        <v>898</v>
      </c>
      <c r="F426" s="126"/>
    </row>
    <row r="427" spans="1:6" s="129" customFormat="1">
      <c r="A427" s="126"/>
      <c r="B427" s="139">
        <v>519</v>
      </c>
      <c r="C427" s="136"/>
      <c r="D427" s="127" t="s">
        <v>382</v>
      </c>
      <c r="E427" s="140" t="s">
        <v>899</v>
      </c>
      <c r="F427" s="126"/>
    </row>
    <row r="428" spans="1:6" s="129" customFormat="1" ht="36">
      <c r="A428" s="126"/>
      <c r="B428" s="139">
        <v>520</v>
      </c>
      <c r="C428" s="136"/>
      <c r="D428" s="127" t="s">
        <v>383</v>
      </c>
      <c r="E428" s="140" t="s">
        <v>900</v>
      </c>
      <c r="F428" s="126"/>
    </row>
    <row r="429" spans="1:6" s="129" customFormat="1">
      <c r="A429" s="126"/>
      <c r="B429" s="139">
        <v>521</v>
      </c>
      <c r="C429" s="136"/>
      <c r="D429" s="127" t="s">
        <v>384</v>
      </c>
      <c r="E429" s="140" t="s">
        <v>901</v>
      </c>
      <c r="F429" s="126"/>
    </row>
    <row r="430" spans="1:6" s="129" customFormat="1">
      <c r="A430" s="126"/>
      <c r="B430" s="139">
        <v>522</v>
      </c>
      <c r="C430" s="136"/>
      <c r="D430" s="127" t="s">
        <v>385</v>
      </c>
      <c r="E430" s="140" t="s">
        <v>902</v>
      </c>
      <c r="F430" s="126"/>
    </row>
    <row r="431" spans="1:6" s="129" customFormat="1">
      <c r="A431" s="126"/>
      <c r="B431" s="139">
        <v>523</v>
      </c>
      <c r="C431" s="136"/>
      <c r="D431" s="127" t="s">
        <v>386</v>
      </c>
      <c r="E431" s="140" t="s">
        <v>903</v>
      </c>
      <c r="F431" s="126"/>
    </row>
    <row r="432" spans="1:6" s="129" customFormat="1">
      <c r="A432" s="126"/>
      <c r="B432" s="139">
        <v>524</v>
      </c>
      <c r="C432" s="136"/>
      <c r="D432" s="127" t="s">
        <v>387</v>
      </c>
      <c r="E432" s="140" t="s">
        <v>904</v>
      </c>
      <c r="F432" s="126"/>
    </row>
    <row r="433" spans="1:6" s="129" customFormat="1">
      <c r="A433" s="126"/>
      <c r="B433" s="139">
        <v>525</v>
      </c>
      <c r="C433" s="136"/>
      <c r="D433" s="127" t="s">
        <v>388</v>
      </c>
      <c r="E433" s="140" t="s">
        <v>905</v>
      </c>
      <c r="F433" s="126"/>
    </row>
    <row r="434" spans="1:6" s="129" customFormat="1">
      <c r="A434" s="126"/>
      <c r="B434" s="139">
        <v>526</v>
      </c>
      <c r="C434" s="136"/>
      <c r="D434" s="127" t="s">
        <v>389</v>
      </c>
      <c r="E434" s="140" t="s">
        <v>906</v>
      </c>
      <c r="F434" s="126"/>
    </row>
    <row r="435" spans="1:6">
      <c r="B435" s="139">
        <v>527</v>
      </c>
      <c r="D435" s="127" t="s">
        <v>983</v>
      </c>
      <c r="E435" s="140" t="s">
        <v>992</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13"/>
  <dimension ref="A1:H153"/>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984</v>
      </c>
      <c r="B2" s="94" t="s">
        <v>0</v>
      </c>
      <c r="C2" s="95" t="s">
        <v>1108</v>
      </c>
      <c r="D2" s="95">
        <v>43724</v>
      </c>
      <c r="E2" s="96">
        <v>43725</v>
      </c>
      <c r="F2" s="95">
        <v>43724</v>
      </c>
      <c r="G2" s="95">
        <v>43729</v>
      </c>
      <c r="H2" s="92">
        <v>0.33333333333333331</v>
      </c>
    </row>
    <row r="3" spans="1:8">
      <c r="A3" s="93" t="s">
        <v>984</v>
      </c>
      <c r="B3" s="94" t="s">
        <v>0</v>
      </c>
      <c r="C3" s="95" t="s">
        <v>1107</v>
      </c>
      <c r="D3" s="95">
        <v>43724</v>
      </c>
      <c r="E3" s="96">
        <v>43725</v>
      </c>
      <c r="F3" s="95">
        <v>43724</v>
      </c>
      <c r="G3" s="95">
        <v>43729</v>
      </c>
      <c r="H3" s="92">
        <v>0.33333333333333331</v>
      </c>
    </row>
    <row r="4" spans="1:8">
      <c r="A4" s="93" t="s">
        <v>984</v>
      </c>
      <c r="B4" s="94" t="s">
        <v>0</v>
      </c>
      <c r="C4" s="95" t="s">
        <v>1109</v>
      </c>
      <c r="D4" s="95">
        <v>43724</v>
      </c>
      <c r="E4" s="96">
        <v>43725</v>
      </c>
      <c r="F4" s="95">
        <v>43724</v>
      </c>
      <c r="G4" s="95">
        <v>43729</v>
      </c>
      <c r="H4" s="92">
        <v>0.33333333333333331</v>
      </c>
    </row>
    <row r="5" spans="1:8">
      <c r="A5" s="93" t="s">
        <v>984</v>
      </c>
      <c r="B5" s="94" t="s">
        <v>0</v>
      </c>
      <c r="C5" s="95" t="s">
        <v>1111</v>
      </c>
      <c r="D5" s="95">
        <v>43724</v>
      </c>
      <c r="E5" s="96">
        <v>43725</v>
      </c>
      <c r="F5" s="95">
        <v>43724</v>
      </c>
      <c r="G5" s="95">
        <v>43729</v>
      </c>
      <c r="H5" s="92">
        <v>0.33333333333333331</v>
      </c>
    </row>
    <row r="6" spans="1:8">
      <c r="A6" s="93" t="s">
        <v>984</v>
      </c>
      <c r="B6" s="94" t="s">
        <v>0</v>
      </c>
      <c r="C6" s="95" t="s">
        <v>1110</v>
      </c>
      <c r="D6" s="95">
        <v>43724</v>
      </c>
      <c r="E6" s="96">
        <v>43725</v>
      </c>
      <c r="F6" s="95">
        <v>43724</v>
      </c>
      <c r="G6" s="95">
        <v>43729</v>
      </c>
      <c r="H6" s="92">
        <v>0.33333333333333331</v>
      </c>
    </row>
    <row r="7" spans="1:8">
      <c r="A7" s="93" t="s">
        <v>984</v>
      </c>
      <c r="B7" s="94" t="s">
        <v>0</v>
      </c>
      <c r="C7" s="95" t="s">
        <v>1112</v>
      </c>
      <c r="D7" s="95">
        <v>43724</v>
      </c>
      <c r="E7" s="96">
        <v>43725</v>
      </c>
      <c r="F7" s="95">
        <v>43724</v>
      </c>
      <c r="G7" s="95">
        <v>43729</v>
      </c>
      <c r="H7" s="92">
        <v>0.33333333333333331</v>
      </c>
    </row>
    <row r="8" spans="1:8">
      <c r="A8" s="93" t="s">
        <v>444</v>
      </c>
      <c r="B8" s="94" t="s">
        <v>427</v>
      </c>
      <c r="C8" s="95" t="s">
        <v>1108</v>
      </c>
      <c r="D8" s="95">
        <v>43725</v>
      </c>
      <c r="E8" s="96">
        <v>43726</v>
      </c>
      <c r="F8" s="95">
        <v>43724</v>
      </c>
      <c r="G8" s="95">
        <v>43729</v>
      </c>
      <c r="H8" s="92">
        <v>0.33333333333333331</v>
      </c>
    </row>
    <row r="9" spans="1:8">
      <c r="A9" s="93" t="s">
        <v>444</v>
      </c>
      <c r="B9" s="94" t="s">
        <v>427</v>
      </c>
      <c r="C9" s="95" t="s">
        <v>1107</v>
      </c>
      <c r="D9" s="95">
        <v>43725</v>
      </c>
      <c r="E9" s="96">
        <v>43726</v>
      </c>
      <c r="F9" s="95">
        <v>43724</v>
      </c>
      <c r="G9" s="95">
        <v>43729</v>
      </c>
      <c r="H9" s="92">
        <v>0.33333333333333331</v>
      </c>
    </row>
    <row r="10" spans="1:8">
      <c r="A10" s="93" t="s">
        <v>444</v>
      </c>
      <c r="B10" s="94" t="s">
        <v>427</v>
      </c>
      <c r="C10" s="95" t="s">
        <v>1109</v>
      </c>
      <c r="D10" s="95">
        <v>43725</v>
      </c>
      <c r="E10" s="96">
        <v>43726</v>
      </c>
      <c r="F10" s="95">
        <v>43724</v>
      </c>
      <c r="G10" s="95">
        <v>43729</v>
      </c>
      <c r="H10" s="92">
        <v>0.33333333333333331</v>
      </c>
    </row>
    <row r="11" spans="1:8">
      <c r="A11" s="93" t="s">
        <v>444</v>
      </c>
      <c r="B11" s="94" t="s">
        <v>427</v>
      </c>
      <c r="C11" s="95" t="s">
        <v>1111</v>
      </c>
      <c r="D11" s="95">
        <v>43725</v>
      </c>
      <c r="E11" s="96">
        <v>43726</v>
      </c>
      <c r="F11" s="95">
        <v>43724</v>
      </c>
      <c r="G11" s="95">
        <v>43729</v>
      </c>
      <c r="H11" s="92">
        <v>0.33333333333333331</v>
      </c>
    </row>
    <row r="12" spans="1:8">
      <c r="A12" s="93" t="s">
        <v>444</v>
      </c>
      <c r="B12" s="94" t="s">
        <v>427</v>
      </c>
      <c r="C12" s="95" t="s">
        <v>1110</v>
      </c>
      <c r="D12" s="95">
        <v>43725</v>
      </c>
      <c r="E12" s="96">
        <v>43726</v>
      </c>
      <c r="F12" s="95">
        <v>43724</v>
      </c>
      <c r="G12" s="95">
        <v>43729</v>
      </c>
      <c r="H12" s="92">
        <v>0.33333333333333331</v>
      </c>
    </row>
    <row r="13" spans="1:8">
      <c r="A13" s="93" t="s">
        <v>444</v>
      </c>
      <c r="B13" s="94" t="s">
        <v>427</v>
      </c>
      <c r="C13" s="95" t="s">
        <v>1112</v>
      </c>
      <c r="D13" s="95">
        <v>43725</v>
      </c>
      <c r="E13" s="96">
        <v>43726</v>
      </c>
      <c r="F13" s="95">
        <v>43724</v>
      </c>
      <c r="G13" s="95">
        <v>43729</v>
      </c>
      <c r="H13" s="92">
        <v>0.33333333333333331</v>
      </c>
    </row>
    <row r="14" spans="1:8">
      <c r="A14" s="93" t="s">
        <v>431</v>
      </c>
      <c r="B14" s="94" t="s">
        <v>1094</v>
      </c>
      <c r="C14" s="95" t="s">
        <v>1108</v>
      </c>
      <c r="D14" s="95">
        <v>43731</v>
      </c>
      <c r="E14" s="96">
        <v>43731</v>
      </c>
      <c r="F14" s="95">
        <v>43730</v>
      </c>
      <c r="G14" s="95">
        <v>43736</v>
      </c>
      <c r="H14" s="92">
        <v>0.5</v>
      </c>
    </row>
    <row r="15" spans="1:8">
      <c r="A15" s="93" t="s">
        <v>431</v>
      </c>
      <c r="B15" s="94" t="s">
        <v>1094</v>
      </c>
      <c r="C15" s="95" t="s">
        <v>1107</v>
      </c>
      <c r="D15" s="95">
        <v>43731</v>
      </c>
      <c r="E15" s="96">
        <v>43731</v>
      </c>
      <c r="F15" s="95">
        <v>43730</v>
      </c>
      <c r="G15" s="95">
        <v>43736</v>
      </c>
      <c r="H15" s="92">
        <v>0.5</v>
      </c>
    </row>
    <row r="16" spans="1:8">
      <c r="A16" s="93" t="s">
        <v>432</v>
      </c>
      <c r="B16" s="94" t="s">
        <v>1096</v>
      </c>
      <c r="C16" s="95" t="s">
        <v>1108</v>
      </c>
      <c r="D16" s="95">
        <v>43738</v>
      </c>
      <c r="E16" s="96">
        <v>43738</v>
      </c>
      <c r="F16" s="95">
        <v>43737</v>
      </c>
      <c r="G16" s="95">
        <v>43743</v>
      </c>
      <c r="H16" s="92">
        <v>0.5</v>
      </c>
    </row>
    <row r="17" spans="1:8">
      <c r="A17" s="93" t="s">
        <v>432</v>
      </c>
      <c r="B17" s="94" t="s">
        <v>1096</v>
      </c>
      <c r="C17" s="95" t="s">
        <v>1107</v>
      </c>
      <c r="D17" s="95">
        <v>43738</v>
      </c>
      <c r="E17" s="96">
        <v>43738</v>
      </c>
      <c r="F17" s="95">
        <v>43737</v>
      </c>
      <c r="G17" s="95">
        <v>43743</v>
      </c>
      <c r="H17" s="92">
        <v>0.5</v>
      </c>
    </row>
    <row r="18" spans="1:8">
      <c r="A18" s="93" t="s">
        <v>433</v>
      </c>
      <c r="B18" s="94" t="s">
        <v>1095</v>
      </c>
      <c r="C18" s="95" t="s">
        <v>1108</v>
      </c>
      <c r="D18" s="95">
        <v>43745</v>
      </c>
      <c r="E18" s="96">
        <v>43745</v>
      </c>
      <c r="F18" s="95">
        <v>43744</v>
      </c>
      <c r="G18" s="95">
        <v>43750</v>
      </c>
      <c r="H18" s="92">
        <v>0.5</v>
      </c>
    </row>
    <row r="19" spans="1:8">
      <c r="A19" s="93" t="s">
        <v>433</v>
      </c>
      <c r="B19" s="94" t="s">
        <v>1095</v>
      </c>
      <c r="C19" s="95" t="s">
        <v>1107</v>
      </c>
      <c r="D19" s="95">
        <v>43745</v>
      </c>
      <c r="E19" s="96">
        <v>43745</v>
      </c>
      <c r="F19" s="95">
        <v>43744</v>
      </c>
      <c r="G19" s="95">
        <v>43750</v>
      </c>
      <c r="H19" s="92">
        <v>0.5</v>
      </c>
    </row>
    <row r="20" spans="1:8">
      <c r="A20" s="93" t="s">
        <v>434</v>
      </c>
      <c r="B20" s="94" t="s">
        <v>1121</v>
      </c>
      <c r="C20" s="95" t="s">
        <v>1112</v>
      </c>
      <c r="D20" s="95">
        <v>43738</v>
      </c>
      <c r="E20" s="96">
        <v>43738</v>
      </c>
      <c r="F20" s="95">
        <v>43737</v>
      </c>
      <c r="G20" s="95">
        <v>43743</v>
      </c>
      <c r="H20" s="92">
        <v>0.5</v>
      </c>
    </row>
    <row r="21" spans="1:8">
      <c r="A21" s="93" t="s">
        <v>434</v>
      </c>
      <c r="B21" s="94" t="s">
        <v>1121</v>
      </c>
      <c r="C21" s="95" t="s">
        <v>1108</v>
      </c>
      <c r="D21" s="95">
        <v>43738</v>
      </c>
      <c r="E21" s="96">
        <v>43738</v>
      </c>
      <c r="F21" s="95">
        <v>43737</v>
      </c>
      <c r="G21" s="95">
        <v>43743</v>
      </c>
      <c r="H21" s="92">
        <v>0.5</v>
      </c>
    </row>
    <row r="22" spans="1:8">
      <c r="A22" s="93" t="s">
        <v>1125</v>
      </c>
      <c r="B22" s="94" t="s">
        <v>1123</v>
      </c>
      <c r="C22" s="95" t="s">
        <v>1112</v>
      </c>
      <c r="D22" s="95">
        <v>43752</v>
      </c>
      <c r="E22" s="96">
        <v>43752</v>
      </c>
      <c r="F22" s="95">
        <v>43751</v>
      </c>
      <c r="G22" s="95">
        <v>43757</v>
      </c>
      <c r="H22" s="92">
        <v>0.5</v>
      </c>
    </row>
    <row r="23" spans="1:8">
      <c r="A23" s="93" t="s">
        <v>1125</v>
      </c>
      <c r="B23" s="94" t="s">
        <v>1123</v>
      </c>
      <c r="C23" s="95" t="s">
        <v>1111</v>
      </c>
      <c r="D23" s="95">
        <v>43752</v>
      </c>
      <c r="E23" s="96">
        <v>43752</v>
      </c>
      <c r="F23" s="95">
        <v>43751</v>
      </c>
      <c r="G23" s="95">
        <v>43757</v>
      </c>
      <c r="H23" s="92">
        <v>0.5</v>
      </c>
    </row>
    <row r="24" spans="1:8">
      <c r="A24" s="93" t="s">
        <v>1126</v>
      </c>
      <c r="B24" s="94" t="s">
        <v>1119</v>
      </c>
      <c r="C24" s="95" t="s">
        <v>1112</v>
      </c>
      <c r="D24" s="95">
        <v>43763</v>
      </c>
      <c r="E24" s="96">
        <v>43763</v>
      </c>
      <c r="F24" s="95">
        <v>43758</v>
      </c>
      <c r="G24" s="95">
        <v>43764</v>
      </c>
      <c r="H24" s="92">
        <v>0.5</v>
      </c>
    </row>
    <row r="25" spans="1:8">
      <c r="A25" s="93" t="s">
        <v>1126</v>
      </c>
      <c r="B25" s="94" t="s">
        <v>1119</v>
      </c>
      <c r="C25" s="95" t="s">
        <v>1108</v>
      </c>
      <c r="D25" s="95">
        <v>43763</v>
      </c>
      <c r="E25" s="96">
        <v>43763</v>
      </c>
      <c r="F25" s="95">
        <v>43758</v>
      </c>
      <c r="G25" s="95">
        <v>43764</v>
      </c>
      <c r="H25" s="92">
        <v>0.5</v>
      </c>
    </row>
    <row r="26" spans="1:8">
      <c r="A26" s="93" t="s">
        <v>435</v>
      </c>
      <c r="B26" s="94" t="s">
        <v>438</v>
      </c>
      <c r="C26" s="95" t="s">
        <v>1108</v>
      </c>
      <c r="D26" s="95">
        <v>43756</v>
      </c>
      <c r="E26" s="96">
        <v>43756</v>
      </c>
      <c r="F26" s="95">
        <v>43751</v>
      </c>
      <c r="G26" s="95">
        <v>43757</v>
      </c>
      <c r="H26" s="92">
        <v>0.5</v>
      </c>
    </row>
    <row r="27" spans="1:8">
      <c r="A27" s="93" t="s">
        <v>435</v>
      </c>
      <c r="B27" s="94" t="s">
        <v>438</v>
      </c>
      <c r="C27" s="95" t="s">
        <v>1107</v>
      </c>
      <c r="D27" s="95">
        <v>43756</v>
      </c>
      <c r="E27" s="96">
        <v>43756</v>
      </c>
      <c r="F27" s="95">
        <v>43751</v>
      </c>
      <c r="G27" s="95">
        <v>43757</v>
      </c>
      <c r="H27" s="92">
        <v>0.5</v>
      </c>
    </row>
    <row r="28" spans="1:8">
      <c r="A28" s="93" t="s">
        <v>436</v>
      </c>
      <c r="B28" s="94" t="s">
        <v>1093</v>
      </c>
      <c r="C28" s="95" t="s">
        <v>1108</v>
      </c>
      <c r="D28" s="95">
        <v>43762</v>
      </c>
      <c r="E28" s="96">
        <v>43762</v>
      </c>
      <c r="F28" s="95">
        <v>43758</v>
      </c>
      <c r="G28" s="95">
        <v>43764</v>
      </c>
      <c r="H28" s="92">
        <v>0.16666666666666666</v>
      </c>
    </row>
    <row r="29" spans="1:8">
      <c r="A29" s="93" t="s">
        <v>436</v>
      </c>
      <c r="B29" s="94" t="s">
        <v>1093</v>
      </c>
      <c r="C29" s="95" t="s">
        <v>1107</v>
      </c>
      <c r="D29" s="95">
        <v>43762</v>
      </c>
      <c r="E29" s="96">
        <v>43762</v>
      </c>
      <c r="F29" s="95">
        <v>43758</v>
      </c>
      <c r="G29" s="95">
        <v>43764</v>
      </c>
      <c r="H29" s="92">
        <v>0.16666666666666666</v>
      </c>
    </row>
    <row r="30" spans="1:8">
      <c r="A30" s="93" t="s">
        <v>436</v>
      </c>
      <c r="B30" s="94" t="s">
        <v>1093</v>
      </c>
      <c r="C30" s="95" t="s">
        <v>1109</v>
      </c>
      <c r="D30" s="95">
        <v>43762</v>
      </c>
      <c r="E30" s="96">
        <v>43762</v>
      </c>
      <c r="F30" s="95">
        <v>43758</v>
      </c>
      <c r="G30" s="95">
        <v>43764</v>
      </c>
      <c r="H30" s="92">
        <v>0.16666666666666666</v>
      </c>
    </row>
    <row r="31" spans="1:8">
      <c r="A31" s="93" t="s">
        <v>436</v>
      </c>
      <c r="B31" s="94" t="s">
        <v>1093</v>
      </c>
      <c r="C31" s="95" t="s">
        <v>1111</v>
      </c>
      <c r="D31" s="95">
        <v>43762</v>
      </c>
      <c r="E31" s="96">
        <v>43762</v>
      </c>
      <c r="F31" s="95">
        <v>43758</v>
      </c>
      <c r="G31" s="95">
        <v>43764</v>
      </c>
      <c r="H31" s="92">
        <v>0.16666666666666666</v>
      </c>
    </row>
    <row r="32" spans="1:8">
      <c r="A32" s="93" t="s">
        <v>436</v>
      </c>
      <c r="B32" s="94" t="s">
        <v>1093</v>
      </c>
      <c r="C32" s="95" t="s">
        <v>1110</v>
      </c>
      <c r="D32" s="95">
        <v>43762</v>
      </c>
      <c r="E32" s="96">
        <v>43762</v>
      </c>
      <c r="F32" s="95">
        <v>43758</v>
      </c>
      <c r="G32" s="95">
        <v>43764</v>
      </c>
      <c r="H32" s="92">
        <v>0.16666666666666666</v>
      </c>
    </row>
    <row r="33" spans="1:8">
      <c r="A33" s="93" t="s">
        <v>436</v>
      </c>
      <c r="B33" s="94" t="s">
        <v>1093</v>
      </c>
      <c r="C33" s="95" t="s">
        <v>1112</v>
      </c>
      <c r="D33" s="95">
        <v>43762</v>
      </c>
      <c r="E33" s="96">
        <v>43762</v>
      </c>
      <c r="F33" s="95">
        <v>43758</v>
      </c>
      <c r="G33" s="95">
        <v>43764</v>
      </c>
      <c r="H33" s="92">
        <v>0.16666666666666666</v>
      </c>
    </row>
    <row r="34" spans="1:8">
      <c r="A34" s="93" t="s">
        <v>437</v>
      </c>
      <c r="B34" s="94" t="s">
        <v>440</v>
      </c>
      <c r="C34" s="95" t="s">
        <v>1108</v>
      </c>
      <c r="D34" s="95">
        <v>43759</v>
      </c>
      <c r="E34" s="96">
        <v>43762</v>
      </c>
      <c r="F34" s="95">
        <v>43758</v>
      </c>
      <c r="G34" s="95">
        <v>43764</v>
      </c>
      <c r="H34" s="92">
        <v>2</v>
      </c>
    </row>
    <row r="35" spans="1:8">
      <c r="A35" s="93" t="s">
        <v>437</v>
      </c>
      <c r="B35" s="94" t="s">
        <v>440</v>
      </c>
      <c r="C35" s="95" t="s">
        <v>1107</v>
      </c>
      <c r="D35" s="95">
        <v>43759</v>
      </c>
      <c r="E35" s="96">
        <v>43762</v>
      </c>
      <c r="F35" s="95">
        <v>43758</v>
      </c>
      <c r="G35" s="95">
        <v>43764</v>
      </c>
      <c r="H35" s="92">
        <v>2</v>
      </c>
    </row>
    <row r="36" spans="1:8">
      <c r="A36" s="93" t="s">
        <v>445</v>
      </c>
      <c r="B36" s="94" t="s">
        <v>439</v>
      </c>
      <c r="C36" s="95" t="s">
        <v>1108</v>
      </c>
      <c r="D36" s="95">
        <v>43762</v>
      </c>
      <c r="E36" s="96">
        <v>43762</v>
      </c>
      <c r="F36" s="95">
        <v>43758</v>
      </c>
      <c r="G36" s="95">
        <v>43764</v>
      </c>
      <c r="H36" s="92">
        <v>1</v>
      </c>
    </row>
    <row r="37" spans="1:8">
      <c r="A37" s="93" t="s">
        <v>988</v>
      </c>
      <c r="B37" s="94" t="s">
        <v>441</v>
      </c>
      <c r="C37" s="95" t="s">
        <v>1108</v>
      </c>
      <c r="D37" s="95">
        <v>43726</v>
      </c>
      <c r="E37" s="96">
        <v>43726</v>
      </c>
      <c r="F37" s="95">
        <v>43724</v>
      </c>
      <c r="G37" s="95">
        <v>43729</v>
      </c>
      <c r="H37" s="92">
        <v>0.16666666666666666</v>
      </c>
    </row>
    <row r="38" spans="1:8">
      <c r="A38" s="93" t="s">
        <v>988</v>
      </c>
      <c r="B38" s="94" t="s">
        <v>441</v>
      </c>
      <c r="C38" s="95" t="s">
        <v>1107</v>
      </c>
      <c r="D38" s="95">
        <v>43726</v>
      </c>
      <c r="E38" s="96">
        <v>43726</v>
      </c>
      <c r="F38" s="95">
        <v>43724</v>
      </c>
      <c r="G38" s="95">
        <v>43729</v>
      </c>
      <c r="H38" s="92">
        <v>0.16666666666666666</v>
      </c>
    </row>
    <row r="39" spans="1:8">
      <c r="A39" s="93" t="s">
        <v>988</v>
      </c>
      <c r="B39" s="94" t="s">
        <v>441</v>
      </c>
      <c r="C39" s="95" t="s">
        <v>1109</v>
      </c>
      <c r="D39" s="95">
        <v>43726</v>
      </c>
      <c r="E39" s="96">
        <v>43726</v>
      </c>
      <c r="F39" s="95">
        <v>43724</v>
      </c>
      <c r="G39" s="95">
        <v>43729</v>
      </c>
      <c r="H39" s="92">
        <v>0.16666666666666666</v>
      </c>
    </row>
    <row r="40" spans="1:8">
      <c r="A40" s="93" t="s">
        <v>988</v>
      </c>
      <c r="B40" s="94" t="s">
        <v>441</v>
      </c>
      <c r="C40" s="95" t="s">
        <v>1111</v>
      </c>
      <c r="D40" s="95">
        <v>43726</v>
      </c>
      <c r="E40" s="96">
        <v>43726</v>
      </c>
      <c r="F40" s="95">
        <v>43724</v>
      </c>
      <c r="G40" s="95">
        <v>43729</v>
      </c>
      <c r="H40" s="92">
        <v>0.16666666666666666</v>
      </c>
    </row>
    <row r="41" spans="1:8">
      <c r="A41" s="93" t="s">
        <v>988</v>
      </c>
      <c r="B41" s="94" t="s">
        <v>441</v>
      </c>
      <c r="C41" s="95" t="s">
        <v>1110</v>
      </c>
      <c r="D41" s="95">
        <v>43726</v>
      </c>
      <c r="E41" s="96">
        <v>43726</v>
      </c>
      <c r="F41" s="95">
        <v>43724</v>
      </c>
      <c r="G41" s="95">
        <v>43729</v>
      </c>
      <c r="H41" s="92">
        <v>0.16666666666666666</v>
      </c>
    </row>
    <row r="42" spans="1:8">
      <c r="A42" s="93" t="s">
        <v>988</v>
      </c>
      <c r="B42" s="94" t="s">
        <v>441</v>
      </c>
      <c r="C42" s="95" t="s">
        <v>1112</v>
      </c>
      <c r="D42" s="95">
        <v>43726</v>
      </c>
      <c r="E42" s="96">
        <v>43726</v>
      </c>
      <c r="F42" s="95">
        <v>43724</v>
      </c>
      <c r="G42" s="95">
        <v>43729</v>
      </c>
      <c r="H42" s="92">
        <v>0.16666666666666666</v>
      </c>
    </row>
    <row r="43" spans="1:8">
      <c r="A43" s="93" t="s">
        <v>989</v>
      </c>
      <c r="B43" s="94" t="s">
        <v>442</v>
      </c>
      <c r="C43" s="95" t="s">
        <v>1108</v>
      </c>
      <c r="D43" s="95">
        <v>43727</v>
      </c>
      <c r="E43" s="96">
        <v>43727</v>
      </c>
      <c r="F43" s="95">
        <v>43724</v>
      </c>
      <c r="G43" s="95">
        <v>43729</v>
      </c>
      <c r="H43" s="92">
        <v>0.16666666666666666</v>
      </c>
    </row>
    <row r="44" spans="1:8">
      <c r="A44" s="93" t="s">
        <v>989</v>
      </c>
      <c r="B44" s="94" t="s">
        <v>442</v>
      </c>
      <c r="C44" s="95" t="s">
        <v>1107</v>
      </c>
      <c r="D44" s="95">
        <v>43727</v>
      </c>
      <c r="E44" s="96">
        <v>43727</v>
      </c>
      <c r="F44" s="95">
        <v>43724</v>
      </c>
      <c r="G44" s="95">
        <v>43729</v>
      </c>
      <c r="H44" s="92">
        <v>0.16666666666666666</v>
      </c>
    </row>
    <row r="45" spans="1:8">
      <c r="A45" s="93" t="s">
        <v>989</v>
      </c>
      <c r="B45" s="94" t="s">
        <v>442</v>
      </c>
      <c r="C45" s="95" t="s">
        <v>1109</v>
      </c>
      <c r="D45" s="95">
        <v>43727</v>
      </c>
      <c r="E45" s="96">
        <v>43727</v>
      </c>
      <c r="F45" s="95">
        <v>43724</v>
      </c>
      <c r="G45" s="95">
        <v>43729</v>
      </c>
      <c r="H45" s="92">
        <v>0.16666666666666666</v>
      </c>
    </row>
    <row r="46" spans="1:8">
      <c r="A46" s="93" t="s">
        <v>989</v>
      </c>
      <c r="B46" s="94" t="s">
        <v>442</v>
      </c>
      <c r="C46" s="95" t="s">
        <v>1111</v>
      </c>
      <c r="D46" s="95">
        <v>43727</v>
      </c>
      <c r="E46" s="96">
        <v>43727</v>
      </c>
      <c r="F46" s="95">
        <v>43724</v>
      </c>
      <c r="G46" s="95">
        <v>43729</v>
      </c>
      <c r="H46" s="92">
        <v>0.16666666666666666</v>
      </c>
    </row>
    <row r="47" spans="1:8">
      <c r="A47" s="93" t="s">
        <v>989</v>
      </c>
      <c r="B47" s="94" t="s">
        <v>442</v>
      </c>
      <c r="C47" s="95" t="s">
        <v>1110</v>
      </c>
      <c r="D47" s="95">
        <v>43727</v>
      </c>
      <c r="E47" s="96">
        <v>43727</v>
      </c>
      <c r="F47" s="95">
        <v>43724</v>
      </c>
      <c r="G47" s="95">
        <v>43729</v>
      </c>
      <c r="H47" s="92">
        <v>0.16666666666666666</v>
      </c>
    </row>
    <row r="48" spans="1:8">
      <c r="A48" s="93" t="s">
        <v>989</v>
      </c>
      <c r="B48" s="94" t="s">
        <v>442</v>
      </c>
      <c r="C48" s="95" t="s">
        <v>1112</v>
      </c>
      <c r="D48" s="95">
        <v>43727</v>
      </c>
      <c r="E48" s="96">
        <v>43727</v>
      </c>
      <c r="F48" s="95">
        <v>43724</v>
      </c>
      <c r="G48" s="95">
        <v>43729</v>
      </c>
      <c r="H48" s="92">
        <v>0.16666666666666666</v>
      </c>
    </row>
    <row r="49" spans="1:8">
      <c r="A49" s="93" t="s">
        <v>990</v>
      </c>
      <c r="B49" s="94" t="s">
        <v>443</v>
      </c>
      <c r="C49" s="95" t="s">
        <v>1108</v>
      </c>
      <c r="D49" s="95">
        <v>43727</v>
      </c>
      <c r="E49" s="96">
        <v>43727</v>
      </c>
      <c r="F49" s="95">
        <v>43724</v>
      </c>
      <c r="G49" s="95">
        <v>43729</v>
      </c>
      <c r="H49" s="92">
        <v>0.16666666666666666</v>
      </c>
    </row>
    <row r="50" spans="1:8">
      <c r="A50" s="93" t="s">
        <v>990</v>
      </c>
      <c r="B50" s="94" t="s">
        <v>443</v>
      </c>
      <c r="C50" s="95" t="s">
        <v>1107</v>
      </c>
      <c r="D50" s="95">
        <v>43727</v>
      </c>
      <c r="E50" s="96">
        <v>43727</v>
      </c>
      <c r="F50" s="95">
        <v>43724</v>
      </c>
      <c r="G50" s="95">
        <v>43729</v>
      </c>
      <c r="H50" s="92">
        <v>0.16666666666666666</v>
      </c>
    </row>
    <row r="51" spans="1:8">
      <c r="A51" s="93" t="s">
        <v>990</v>
      </c>
      <c r="B51" s="94" t="s">
        <v>443</v>
      </c>
      <c r="C51" s="95" t="s">
        <v>1109</v>
      </c>
      <c r="D51" s="95">
        <v>43727</v>
      </c>
      <c r="E51" s="96">
        <v>43727</v>
      </c>
      <c r="F51" s="95">
        <v>43724</v>
      </c>
      <c r="G51" s="95">
        <v>43729</v>
      </c>
      <c r="H51" s="92">
        <v>0.16666666666666666</v>
      </c>
    </row>
    <row r="52" spans="1:8">
      <c r="A52" s="93" t="s">
        <v>990</v>
      </c>
      <c r="B52" s="94" t="s">
        <v>443</v>
      </c>
      <c r="C52" s="95" t="s">
        <v>1111</v>
      </c>
      <c r="D52" s="95">
        <v>43727</v>
      </c>
      <c r="E52" s="96">
        <v>43727</v>
      </c>
      <c r="F52" s="95">
        <v>43724</v>
      </c>
      <c r="G52" s="95">
        <v>43729</v>
      </c>
      <c r="H52" s="92">
        <v>0.16666666666666666</v>
      </c>
    </row>
    <row r="53" spans="1:8">
      <c r="A53" s="93" t="s">
        <v>990</v>
      </c>
      <c r="B53" s="94" t="s">
        <v>443</v>
      </c>
      <c r="C53" s="95" t="s">
        <v>1110</v>
      </c>
      <c r="D53" s="95">
        <v>43727</v>
      </c>
      <c r="E53" s="96">
        <v>43727</v>
      </c>
      <c r="F53" s="95">
        <v>43724</v>
      </c>
      <c r="G53" s="95">
        <v>43729</v>
      </c>
      <c r="H53" s="92">
        <v>0.16666666666666666</v>
      </c>
    </row>
    <row r="54" spans="1:8">
      <c r="A54" s="93" t="s">
        <v>990</v>
      </c>
      <c r="B54" s="94" t="s">
        <v>443</v>
      </c>
      <c r="C54" s="95" t="s">
        <v>1112</v>
      </c>
      <c r="D54" s="95">
        <v>43727</v>
      </c>
      <c r="E54" s="96">
        <v>43727</v>
      </c>
      <c r="F54" s="95">
        <v>43724</v>
      </c>
      <c r="G54" s="95">
        <v>43729</v>
      </c>
      <c r="H54" s="92">
        <v>0.16666666666666666</v>
      </c>
    </row>
    <row r="55" spans="1:8">
      <c r="A55" s="93" t="s">
        <v>991</v>
      </c>
      <c r="B55" s="94" t="s">
        <v>997</v>
      </c>
      <c r="C55" s="95" t="s">
        <v>1108</v>
      </c>
      <c r="D55" s="95">
        <v>43726</v>
      </c>
      <c r="E55" s="96">
        <v>43726</v>
      </c>
      <c r="F55" s="95">
        <v>43724</v>
      </c>
      <c r="G55" s="95">
        <v>43729</v>
      </c>
      <c r="H55" s="92">
        <v>0.16666666666666666</v>
      </c>
    </row>
    <row r="56" spans="1:8">
      <c r="A56" s="93" t="s">
        <v>991</v>
      </c>
      <c r="B56" s="94" t="s">
        <v>997</v>
      </c>
      <c r="C56" s="95" t="s">
        <v>1107</v>
      </c>
      <c r="D56" s="95">
        <v>43726</v>
      </c>
      <c r="E56" s="96">
        <v>43726</v>
      </c>
      <c r="F56" s="95">
        <v>43724</v>
      </c>
      <c r="G56" s="95">
        <v>43729</v>
      </c>
      <c r="H56" s="92">
        <v>0.16666666666666666</v>
      </c>
    </row>
    <row r="57" spans="1:8">
      <c r="A57" s="93" t="s">
        <v>991</v>
      </c>
      <c r="B57" s="94" t="s">
        <v>997</v>
      </c>
      <c r="C57" s="95" t="s">
        <v>1109</v>
      </c>
      <c r="D57" s="95">
        <v>43726</v>
      </c>
      <c r="E57" s="96">
        <v>43726</v>
      </c>
      <c r="F57" s="95">
        <v>43724</v>
      </c>
      <c r="G57" s="95">
        <v>43729</v>
      </c>
      <c r="H57" s="92">
        <v>0.16666666666666666</v>
      </c>
    </row>
    <row r="58" spans="1:8">
      <c r="A58" s="93" t="s">
        <v>991</v>
      </c>
      <c r="B58" s="94" t="s">
        <v>997</v>
      </c>
      <c r="C58" s="95" t="s">
        <v>1111</v>
      </c>
      <c r="D58" s="95">
        <v>43726</v>
      </c>
      <c r="E58" s="96">
        <v>43726</v>
      </c>
      <c r="F58" s="95">
        <v>43724</v>
      </c>
      <c r="G58" s="95">
        <v>43729</v>
      </c>
      <c r="H58" s="92">
        <v>0.16666666666666666</v>
      </c>
    </row>
    <row r="59" spans="1:8">
      <c r="A59" s="93" t="s">
        <v>991</v>
      </c>
      <c r="B59" s="94" t="s">
        <v>997</v>
      </c>
      <c r="C59" s="95" t="s">
        <v>1110</v>
      </c>
      <c r="D59" s="95">
        <v>43726</v>
      </c>
      <c r="E59" s="96">
        <v>43726</v>
      </c>
      <c r="F59" s="95">
        <v>43724</v>
      </c>
      <c r="G59" s="95">
        <v>43729</v>
      </c>
      <c r="H59" s="92">
        <v>0.16666666666666666</v>
      </c>
    </row>
    <row r="60" spans="1:8">
      <c r="A60" s="93" t="s">
        <v>991</v>
      </c>
      <c r="B60" s="94" t="s">
        <v>997</v>
      </c>
      <c r="C60" s="95" t="s">
        <v>1112</v>
      </c>
      <c r="D60" s="95">
        <v>43726</v>
      </c>
      <c r="E60" s="96">
        <v>43726</v>
      </c>
      <c r="F60" s="95">
        <v>43724</v>
      </c>
      <c r="G60" s="95">
        <v>43729</v>
      </c>
      <c r="H60" s="92">
        <v>0.16666666666666666</v>
      </c>
    </row>
    <row r="61" spans="1:8">
      <c r="A61" s="93" t="s">
        <v>999</v>
      </c>
      <c r="B61" s="94" t="s">
        <v>1000</v>
      </c>
      <c r="C61" s="95" t="s">
        <v>1108</v>
      </c>
      <c r="D61" s="95">
        <v>43727</v>
      </c>
      <c r="E61" s="96">
        <v>43734</v>
      </c>
      <c r="F61" s="95">
        <v>43724</v>
      </c>
      <c r="G61" s="95">
        <v>43729</v>
      </c>
      <c r="H61" s="92">
        <v>0.33333333333333331</v>
      </c>
    </row>
    <row r="62" spans="1:8">
      <c r="A62" s="93" t="s">
        <v>999</v>
      </c>
      <c r="B62" s="94" t="s">
        <v>1000</v>
      </c>
      <c r="C62" s="95" t="s">
        <v>1107</v>
      </c>
      <c r="D62" s="95">
        <v>43727</v>
      </c>
      <c r="E62" s="96">
        <v>43734</v>
      </c>
      <c r="F62" s="95">
        <v>43724</v>
      </c>
      <c r="G62" s="95">
        <v>43729</v>
      </c>
      <c r="H62" s="92">
        <v>0.33333333333333331</v>
      </c>
    </row>
    <row r="63" spans="1:8">
      <c r="A63" s="93" t="s">
        <v>999</v>
      </c>
      <c r="B63" s="94" t="s">
        <v>1000</v>
      </c>
      <c r="C63" s="95" t="s">
        <v>1109</v>
      </c>
      <c r="D63" s="95">
        <v>43727</v>
      </c>
      <c r="E63" s="96">
        <v>43734</v>
      </c>
      <c r="F63" s="95">
        <v>43724</v>
      </c>
      <c r="G63" s="95">
        <v>43729</v>
      </c>
      <c r="H63" s="92">
        <v>0.33333333333333331</v>
      </c>
    </row>
    <row r="64" spans="1:8">
      <c r="A64" s="93" t="s">
        <v>999</v>
      </c>
      <c r="B64" s="94" t="s">
        <v>1000</v>
      </c>
      <c r="C64" s="95" t="s">
        <v>1111</v>
      </c>
      <c r="D64" s="95">
        <v>43727</v>
      </c>
      <c r="E64" s="96">
        <v>43734</v>
      </c>
      <c r="F64" s="95">
        <v>43724</v>
      </c>
      <c r="G64" s="95">
        <v>43729</v>
      </c>
      <c r="H64" s="92">
        <v>0.33333333333333331</v>
      </c>
    </row>
    <row r="65" spans="1:8">
      <c r="A65" s="93" t="s">
        <v>999</v>
      </c>
      <c r="B65" s="94" t="s">
        <v>1000</v>
      </c>
      <c r="C65" s="95" t="s">
        <v>1110</v>
      </c>
      <c r="D65" s="95">
        <v>43727</v>
      </c>
      <c r="E65" s="96">
        <v>43734</v>
      </c>
      <c r="F65" s="95">
        <v>43724</v>
      </c>
      <c r="G65" s="95">
        <v>43729</v>
      </c>
      <c r="H65" s="92">
        <v>0.33333333333333331</v>
      </c>
    </row>
    <row r="66" spans="1:8">
      <c r="A66" s="93" t="s">
        <v>999</v>
      </c>
      <c r="B66" s="94" t="s">
        <v>1000</v>
      </c>
      <c r="C66" s="95" t="s">
        <v>1112</v>
      </c>
      <c r="D66" s="95">
        <v>43727</v>
      </c>
      <c r="E66" s="96">
        <v>43734</v>
      </c>
      <c r="F66" s="95">
        <v>43724</v>
      </c>
      <c r="G66" s="95">
        <v>43729</v>
      </c>
      <c r="H66" s="92">
        <v>0.33333333333333331</v>
      </c>
    </row>
    <row r="67" spans="1:8">
      <c r="A67" s="93" t="s">
        <v>999</v>
      </c>
      <c r="B67" s="94" t="s">
        <v>1000</v>
      </c>
      <c r="C67" s="95" t="s">
        <v>1108</v>
      </c>
      <c r="D67" s="95">
        <v>43727</v>
      </c>
      <c r="E67" s="96">
        <v>43734</v>
      </c>
      <c r="F67" s="95">
        <v>43730</v>
      </c>
      <c r="G67" s="95">
        <v>43736</v>
      </c>
      <c r="H67" s="92">
        <v>0.66666666666666663</v>
      </c>
    </row>
    <row r="68" spans="1:8">
      <c r="A68" s="93" t="s">
        <v>999</v>
      </c>
      <c r="B68" s="94" t="s">
        <v>1000</v>
      </c>
      <c r="C68" s="95" t="s">
        <v>1107</v>
      </c>
      <c r="D68" s="95">
        <v>43727</v>
      </c>
      <c r="E68" s="96">
        <v>43734</v>
      </c>
      <c r="F68" s="95">
        <v>43730</v>
      </c>
      <c r="G68" s="95">
        <v>43736</v>
      </c>
      <c r="H68" s="92">
        <v>0.66666666666666663</v>
      </c>
    </row>
    <row r="69" spans="1:8">
      <c r="A69" s="93" t="s">
        <v>999</v>
      </c>
      <c r="B69" s="94" t="s">
        <v>1000</v>
      </c>
      <c r="C69" s="95" t="s">
        <v>1109</v>
      </c>
      <c r="D69" s="95">
        <v>43727</v>
      </c>
      <c r="E69" s="96">
        <v>43734</v>
      </c>
      <c r="F69" s="95">
        <v>43730</v>
      </c>
      <c r="G69" s="95">
        <v>43736</v>
      </c>
      <c r="H69" s="92">
        <v>0.66666666666666663</v>
      </c>
    </row>
    <row r="70" spans="1:8">
      <c r="A70" s="93" t="s">
        <v>999</v>
      </c>
      <c r="B70" s="94" t="s">
        <v>1000</v>
      </c>
      <c r="C70" s="95" t="s">
        <v>1111</v>
      </c>
      <c r="D70" s="95">
        <v>43727</v>
      </c>
      <c r="E70" s="96">
        <v>43734</v>
      </c>
      <c r="F70" s="95">
        <v>43730</v>
      </c>
      <c r="G70" s="95">
        <v>43736</v>
      </c>
      <c r="H70" s="92">
        <v>0.66666666666666663</v>
      </c>
    </row>
    <row r="71" spans="1:8">
      <c r="A71" s="93" t="s">
        <v>999</v>
      </c>
      <c r="B71" s="94" t="s">
        <v>1000</v>
      </c>
      <c r="C71" s="95" t="s">
        <v>1110</v>
      </c>
      <c r="D71" s="95">
        <v>43727</v>
      </c>
      <c r="E71" s="96">
        <v>43734</v>
      </c>
      <c r="F71" s="95">
        <v>43730</v>
      </c>
      <c r="G71" s="95">
        <v>43736</v>
      </c>
      <c r="H71" s="92">
        <v>0.66666666666666663</v>
      </c>
    </row>
    <row r="72" spans="1:8">
      <c r="A72" s="93" t="s">
        <v>999</v>
      </c>
      <c r="B72" s="94" t="s">
        <v>1000</v>
      </c>
      <c r="C72" s="95" t="s">
        <v>1112</v>
      </c>
      <c r="D72" s="95">
        <v>43727</v>
      </c>
      <c r="E72" s="96">
        <v>43734</v>
      </c>
      <c r="F72" s="95">
        <v>43730</v>
      </c>
      <c r="G72" s="95">
        <v>43736</v>
      </c>
      <c r="H72" s="92">
        <v>0.66666666666666663</v>
      </c>
    </row>
    <row r="73" spans="1:8">
      <c r="A73" s="93" t="s">
        <v>1001</v>
      </c>
      <c r="B73" s="94" t="s">
        <v>1002</v>
      </c>
      <c r="C73" s="95" t="s">
        <v>1108</v>
      </c>
      <c r="D73" s="95">
        <v>43727</v>
      </c>
      <c r="E73" s="96">
        <v>43734</v>
      </c>
      <c r="F73" s="95">
        <v>43724</v>
      </c>
      <c r="G73" s="95">
        <v>43729</v>
      </c>
      <c r="H73" s="92">
        <v>0.33333333333333331</v>
      </c>
    </row>
    <row r="74" spans="1:8">
      <c r="A74" s="93" t="s">
        <v>1001</v>
      </c>
      <c r="B74" s="94" t="s">
        <v>1002</v>
      </c>
      <c r="C74" s="95" t="s">
        <v>1107</v>
      </c>
      <c r="D74" s="95">
        <v>43727</v>
      </c>
      <c r="E74" s="96">
        <v>43734</v>
      </c>
      <c r="F74" s="95">
        <v>43724</v>
      </c>
      <c r="G74" s="95">
        <v>43729</v>
      </c>
      <c r="H74" s="92">
        <v>0.33333333333333331</v>
      </c>
    </row>
    <row r="75" spans="1:8">
      <c r="A75" s="93" t="s">
        <v>1001</v>
      </c>
      <c r="B75" s="94" t="s">
        <v>1002</v>
      </c>
      <c r="C75" s="95" t="s">
        <v>1109</v>
      </c>
      <c r="D75" s="95">
        <v>43727</v>
      </c>
      <c r="E75" s="96">
        <v>43734</v>
      </c>
      <c r="F75" s="95">
        <v>43724</v>
      </c>
      <c r="G75" s="95">
        <v>43729</v>
      </c>
      <c r="H75" s="92">
        <v>0.33333333333333331</v>
      </c>
    </row>
    <row r="76" spans="1:8">
      <c r="A76" s="93" t="s">
        <v>1001</v>
      </c>
      <c r="B76" s="94" t="s">
        <v>1002</v>
      </c>
      <c r="C76" s="95" t="s">
        <v>1111</v>
      </c>
      <c r="D76" s="95">
        <v>43727</v>
      </c>
      <c r="E76" s="96">
        <v>43734</v>
      </c>
      <c r="F76" s="95">
        <v>43724</v>
      </c>
      <c r="G76" s="95">
        <v>43729</v>
      </c>
      <c r="H76" s="92">
        <v>0.33333333333333331</v>
      </c>
    </row>
    <row r="77" spans="1:8">
      <c r="A77" s="93" t="s">
        <v>1001</v>
      </c>
      <c r="B77" s="94" t="s">
        <v>1002</v>
      </c>
      <c r="C77" s="95" t="s">
        <v>1110</v>
      </c>
      <c r="D77" s="95">
        <v>43727</v>
      </c>
      <c r="E77" s="96">
        <v>43734</v>
      </c>
      <c r="F77" s="95">
        <v>43724</v>
      </c>
      <c r="G77" s="95">
        <v>43729</v>
      </c>
      <c r="H77" s="92">
        <v>0.33333333333333331</v>
      </c>
    </row>
    <row r="78" spans="1:8">
      <c r="A78" s="93" t="s">
        <v>1001</v>
      </c>
      <c r="B78" s="94" t="s">
        <v>1002</v>
      </c>
      <c r="C78" s="95" t="s">
        <v>1112</v>
      </c>
      <c r="D78" s="95">
        <v>43727</v>
      </c>
      <c r="E78" s="96">
        <v>43734</v>
      </c>
      <c r="F78" s="95">
        <v>43724</v>
      </c>
      <c r="G78" s="95">
        <v>43729</v>
      </c>
      <c r="H78" s="92">
        <v>0.33333333333333331</v>
      </c>
    </row>
    <row r="79" spans="1:8">
      <c r="A79" s="93" t="s">
        <v>1001</v>
      </c>
      <c r="B79" s="94" t="s">
        <v>1002</v>
      </c>
      <c r="C79" s="95" t="s">
        <v>1108</v>
      </c>
      <c r="D79" s="95">
        <v>43727</v>
      </c>
      <c r="E79" s="96">
        <v>43734</v>
      </c>
      <c r="F79" s="95">
        <v>43730</v>
      </c>
      <c r="G79" s="95">
        <v>43736</v>
      </c>
      <c r="H79" s="92">
        <v>0.66666666666666663</v>
      </c>
    </row>
    <row r="80" spans="1:8">
      <c r="A80" s="93" t="s">
        <v>1001</v>
      </c>
      <c r="B80" s="94" t="s">
        <v>1002</v>
      </c>
      <c r="C80" s="95" t="s">
        <v>1107</v>
      </c>
      <c r="D80" s="95">
        <v>43727</v>
      </c>
      <c r="E80" s="96">
        <v>43734</v>
      </c>
      <c r="F80" s="95">
        <v>43730</v>
      </c>
      <c r="G80" s="95">
        <v>43736</v>
      </c>
      <c r="H80" s="92">
        <v>0.66666666666666663</v>
      </c>
    </row>
    <row r="81" spans="1:8">
      <c r="A81" s="93" t="s">
        <v>1001</v>
      </c>
      <c r="B81" s="94" t="s">
        <v>1002</v>
      </c>
      <c r="C81" s="95" t="s">
        <v>1109</v>
      </c>
      <c r="D81" s="95">
        <v>43727</v>
      </c>
      <c r="E81" s="96">
        <v>43734</v>
      </c>
      <c r="F81" s="95">
        <v>43730</v>
      </c>
      <c r="G81" s="95">
        <v>43736</v>
      </c>
      <c r="H81" s="92">
        <v>0.66666666666666663</v>
      </c>
    </row>
    <row r="82" spans="1:8">
      <c r="A82" s="93" t="s">
        <v>1001</v>
      </c>
      <c r="B82" s="94" t="s">
        <v>1002</v>
      </c>
      <c r="C82" s="95" t="s">
        <v>1111</v>
      </c>
      <c r="D82" s="95">
        <v>43727</v>
      </c>
      <c r="E82" s="96">
        <v>43734</v>
      </c>
      <c r="F82" s="95">
        <v>43730</v>
      </c>
      <c r="G82" s="95">
        <v>43736</v>
      </c>
      <c r="H82" s="92">
        <v>0.66666666666666663</v>
      </c>
    </row>
    <row r="83" spans="1:8">
      <c r="A83" s="93" t="s">
        <v>1001</v>
      </c>
      <c r="B83" s="94" t="s">
        <v>1002</v>
      </c>
      <c r="C83" s="95" t="s">
        <v>1110</v>
      </c>
      <c r="D83" s="95">
        <v>43727</v>
      </c>
      <c r="E83" s="96">
        <v>43734</v>
      </c>
      <c r="F83" s="95">
        <v>43730</v>
      </c>
      <c r="G83" s="95">
        <v>43736</v>
      </c>
      <c r="H83" s="92">
        <v>0.66666666666666663</v>
      </c>
    </row>
    <row r="84" spans="1:8">
      <c r="A84" s="93" t="s">
        <v>1001</v>
      </c>
      <c r="B84" s="94" t="s">
        <v>1002</v>
      </c>
      <c r="C84" s="95" t="s">
        <v>1112</v>
      </c>
      <c r="D84" s="95">
        <v>43727</v>
      </c>
      <c r="E84" s="96">
        <v>43734</v>
      </c>
      <c r="F84" s="95">
        <v>43730</v>
      </c>
      <c r="G84" s="95">
        <v>43736</v>
      </c>
      <c r="H84" s="92">
        <v>0.66666666666666663</v>
      </c>
    </row>
    <row r="85" spans="1:8">
      <c r="A85" s="93" t="s">
        <v>1003</v>
      </c>
      <c r="B85" s="94" t="s">
        <v>1004</v>
      </c>
      <c r="C85" s="95" t="s">
        <v>1108</v>
      </c>
      <c r="D85" s="95">
        <v>43727</v>
      </c>
      <c r="E85" s="96">
        <v>43734</v>
      </c>
      <c r="F85" s="95">
        <v>43724</v>
      </c>
      <c r="G85" s="95">
        <v>43729</v>
      </c>
      <c r="H85" s="92">
        <v>0.33333333333333331</v>
      </c>
    </row>
    <row r="86" spans="1:8">
      <c r="A86" s="93" t="s">
        <v>1003</v>
      </c>
      <c r="B86" s="94" t="s">
        <v>1004</v>
      </c>
      <c r="C86" s="95" t="s">
        <v>1107</v>
      </c>
      <c r="D86" s="95">
        <v>43727</v>
      </c>
      <c r="E86" s="96">
        <v>43734</v>
      </c>
      <c r="F86" s="95">
        <v>43724</v>
      </c>
      <c r="G86" s="95">
        <v>43729</v>
      </c>
      <c r="H86" s="92">
        <v>0.33333333333333331</v>
      </c>
    </row>
    <row r="87" spans="1:8">
      <c r="A87" s="93" t="s">
        <v>1003</v>
      </c>
      <c r="B87" s="94" t="s">
        <v>1004</v>
      </c>
      <c r="C87" s="95" t="s">
        <v>1109</v>
      </c>
      <c r="D87" s="95">
        <v>43727</v>
      </c>
      <c r="E87" s="96">
        <v>43734</v>
      </c>
      <c r="F87" s="95">
        <v>43724</v>
      </c>
      <c r="G87" s="95">
        <v>43729</v>
      </c>
      <c r="H87" s="92">
        <v>0.33333333333333331</v>
      </c>
    </row>
    <row r="88" spans="1:8">
      <c r="A88" s="93" t="s">
        <v>1003</v>
      </c>
      <c r="B88" s="94" t="s">
        <v>1004</v>
      </c>
      <c r="C88" s="95" t="s">
        <v>1111</v>
      </c>
      <c r="D88" s="95">
        <v>43727</v>
      </c>
      <c r="E88" s="96">
        <v>43734</v>
      </c>
      <c r="F88" s="95">
        <v>43724</v>
      </c>
      <c r="G88" s="95">
        <v>43729</v>
      </c>
      <c r="H88" s="92">
        <v>0.33333333333333331</v>
      </c>
    </row>
    <row r="89" spans="1:8">
      <c r="A89" s="93" t="s">
        <v>1003</v>
      </c>
      <c r="B89" s="94" t="s">
        <v>1004</v>
      </c>
      <c r="C89" s="95" t="s">
        <v>1110</v>
      </c>
      <c r="D89" s="95">
        <v>43727</v>
      </c>
      <c r="E89" s="96">
        <v>43734</v>
      </c>
      <c r="F89" s="95">
        <v>43724</v>
      </c>
      <c r="G89" s="95">
        <v>43729</v>
      </c>
      <c r="H89" s="92">
        <v>0.33333333333333331</v>
      </c>
    </row>
    <row r="90" spans="1:8">
      <c r="A90" s="93" t="s">
        <v>1003</v>
      </c>
      <c r="B90" s="94" t="s">
        <v>1004</v>
      </c>
      <c r="C90" s="95" t="s">
        <v>1112</v>
      </c>
      <c r="D90" s="95">
        <v>43727</v>
      </c>
      <c r="E90" s="96">
        <v>43734</v>
      </c>
      <c r="F90" s="95">
        <v>43724</v>
      </c>
      <c r="G90" s="95">
        <v>43729</v>
      </c>
      <c r="H90" s="92">
        <v>0.33333333333333331</v>
      </c>
    </row>
    <row r="91" spans="1:8">
      <c r="A91" s="93" t="s">
        <v>1003</v>
      </c>
      <c r="B91" s="94" t="s">
        <v>1004</v>
      </c>
      <c r="C91" s="95" t="s">
        <v>1108</v>
      </c>
      <c r="D91" s="95">
        <v>43727</v>
      </c>
      <c r="E91" s="96">
        <v>43734</v>
      </c>
      <c r="F91" s="95">
        <v>43730</v>
      </c>
      <c r="G91" s="95">
        <v>43736</v>
      </c>
      <c r="H91" s="92">
        <v>0.66666666666666663</v>
      </c>
    </row>
    <row r="92" spans="1:8">
      <c r="A92" s="93" t="s">
        <v>1003</v>
      </c>
      <c r="B92" s="94" t="s">
        <v>1004</v>
      </c>
      <c r="C92" s="95" t="s">
        <v>1107</v>
      </c>
      <c r="D92" s="95">
        <v>43727</v>
      </c>
      <c r="E92" s="96">
        <v>43734</v>
      </c>
      <c r="F92" s="95">
        <v>43730</v>
      </c>
      <c r="G92" s="95">
        <v>43736</v>
      </c>
      <c r="H92" s="92">
        <v>0.66666666666666663</v>
      </c>
    </row>
    <row r="93" spans="1:8">
      <c r="A93" s="93" t="s">
        <v>1003</v>
      </c>
      <c r="B93" s="94" t="s">
        <v>1004</v>
      </c>
      <c r="C93" s="95" t="s">
        <v>1109</v>
      </c>
      <c r="D93" s="95">
        <v>43727</v>
      </c>
      <c r="E93" s="96">
        <v>43734</v>
      </c>
      <c r="F93" s="95">
        <v>43730</v>
      </c>
      <c r="G93" s="95">
        <v>43736</v>
      </c>
      <c r="H93" s="92">
        <v>0.66666666666666663</v>
      </c>
    </row>
    <row r="94" spans="1:8">
      <c r="A94" s="93" t="s">
        <v>1003</v>
      </c>
      <c r="B94" s="94" t="s">
        <v>1004</v>
      </c>
      <c r="C94" s="95" t="s">
        <v>1111</v>
      </c>
      <c r="D94" s="95">
        <v>43727</v>
      </c>
      <c r="E94" s="96">
        <v>43734</v>
      </c>
      <c r="F94" s="95">
        <v>43730</v>
      </c>
      <c r="G94" s="95">
        <v>43736</v>
      </c>
      <c r="H94" s="92">
        <v>0.66666666666666663</v>
      </c>
    </row>
    <row r="95" spans="1:8">
      <c r="A95" s="93" t="s">
        <v>1003</v>
      </c>
      <c r="B95" s="94" t="s">
        <v>1004</v>
      </c>
      <c r="C95" s="95" t="s">
        <v>1110</v>
      </c>
      <c r="D95" s="95">
        <v>43727</v>
      </c>
      <c r="E95" s="96">
        <v>43734</v>
      </c>
      <c r="F95" s="95">
        <v>43730</v>
      </c>
      <c r="G95" s="95">
        <v>43736</v>
      </c>
      <c r="H95" s="92">
        <v>0.66666666666666663</v>
      </c>
    </row>
    <row r="96" spans="1:8">
      <c r="A96" s="93" t="s">
        <v>1003</v>
      </c>
      <c r="B96" s="94" t="s">
        <v>1004</v>
      </c>
      <c r="C96" s="95" t="s">
        <v>1112</v>
      </c>
      <c r="D96" s="95">
        <v>43727</v>
      </c>
      <c r="E96" s="96">
        <v>43734</v>
      </c>
      <c r="F96" s="95">
        <v>43730</v>
      </c>
      <c r="G96" s="95">
        <v>43736</v>
      </c>
      <c r="H96" s="92">
        <v>0.66666666666666663</v>
      </c>
    </row>
    <row r="97" spans="1:8">
      <c r="A97" s="93" t="s">
        <v>1100</v>
      </c>
      <c r="B97" s="94" t="s">
        <v>1114</v>
      </c>
      <c r="C97" s="95" t="s">
        <v>1107</v>
      </c>
      <c r="D97" s="95">
        <v>43728</v>
      </c>
      <c r="E97" s="96">
        <v>43760</v>
      </c>
      <c r="F97" s="95">
        <v>43724</v>
      </c>
      <c r="G97" s="95">
        <v>43729</v>
      </c>
      <c r="H97" s="92">
        <v>1</v>
      </c>
    </row>
    <row r="98" spans="1:8">
      <c r="A98" s="93" t="s">
        <v>1100</v>
      </c>
      <c r="B98" s="94" t="s">
        <v>1114</v>
      </c>
      <c r="C98" s="95" t="s">
        <v>1107</v>
      </c>
      <c r="D98" s="95">
        <v>43728</v>
      </c>
      <c r="E98" s="96">
        <v>43760</v>
      </c>
      <c r="F98" s="95">
        <v>43730</v>
      </c>
      <c r="G98" s="95">
        <v>43736</v>
      </c>
      <c r="H98" s="92">
        <v>5</v>
      </c>
    </row>
    <row r="99" spans="1:8">
      <c r="A99" s="93" t="s">
        <v>1100</v>
      </c>
      <c r="B99" s="94" t="s">
        <v>1114</v>
      </c>
      <c r="C99" s="95" t="s">
        <v>1107</v>
      </c>
      <c r="D99" s="95">
        <v>43728</v>
      </c>
      <c r="E99" s="96">
        <v>43760</v>
      </c>
      <c r="F99" s="95">
        <v>43737</v>
      </c>
      <c r="G99" s="95">
        <v>43743</v>
      </c>
      <c r="H99" s="92">
        <v>4</v>
      </c>
    </row>
    <row r="100" spans="1:8">
      <c r="A100" s="93" t="s">
        <v>1100</v>
      </c>
      <c r="B100" s="94" t="s">
        <v>1114</v>
      </c>
      <c r="C100" s="95" t="s">
        <v>1107</v>
      </c>
      <c r="D100" s="95">
        <v>43728</v>
      </c>
      <c r="E100" s="96">
        <v>43760</v>
      </c>
      <c r="F100" s="95">
        <v>43744</v>
      </c>
      <c r="G100" s="95">
        <v>43750</v>
      </c>
      <c r="H100" s="92">
        <v>4</v>
      </c>
    </row>
    <row r="101" spans="1:8">
      <c r="A101" s="93" t="s">
        <v>1100</v>
      </c>
      <c r="B101" s="94" t="s">
        <v>1114</v>
      </c>
      <c r="C101" s="95" t="s">
        <v>1107</v>
      </c>
      <c r="D101" s="95">
        <v>43728</v>
      </c>
      <c r="E101" s="96">
        <v>43760</v>
      </c>
      <c r="F101" s="95">
        <v>43751</v>
      </c>
      <c r="G101" s="95">
        <v>43757</v>
      </c>
      <c r="H101" s="92">
        <v>5</v>
      </c>
    </row>
    <row r="102" spans="1:8">
      <c r="A102" s="93" t="s">
        <v>1100</v>
      </c>
      <c r="B102" s="94" t="s">
        <v>1114</v>
      </c>
      <c r="C102" s="95" t="s">
        <v>1107</v>
      </c>
      <c r="D102" s="95">
        <v>43728</v>
      </c>
      <c r="E102" s="96">
        <v>43760</v>
      </c>
      <c r="F102" s="95">
        <v>43758</v>
      </c>
      <c r="G102" s="95">
        <v>43764</v>
      </c>
      <c r="H102" s="92">
        <v>2</v>
      </c>
    </row>
    <row r="103" spans="1:8">
      <c r="A103" s="93" t="s">
        <v>1101</v>
      </c>
      <c r="B103" s="94" t="s">
        <v>1115</v>
      </c>
      <c r="C103" s="95" t="s">
        <v>1108</v>
      </c>
      <c r="D103" s="95">
        <v>43728</v>
      </c>
      <c r="E103" s="96">
        <v>43760</v>
      </c>
      <c r="F103" s="95">
        <v>43724</v>
      </c>
      <c r="G103" s="95">
        <v>43729</v>
      </c>
      <c r="H103" s="92">
        <v>1</v>
      </c>
    </row>
    <row r="104" spans="1:8">
      <c r="A104" s="93" t="s">
        <v>1101</v>
      </c>
      <c r="B104" s="94" t="s">
        <v>1115</v>
      </c>
      <c r="C104" s="95" t="s">
        <v>1108</v>
      </c>
      <c r="D104" s="95">
        <v>43728</v>
      </c>
      <c r="E104" s="96">
        <v>43760</v>
      </c>
      <c r="F104" s="95">
        <v>43730</v>
      </c>
      <c r="G104" s="95">
        <v>43736</v>
      </c>
      <c r="H104" s="92">
        <v>5</v>
      </c>
    </row>
    <row r="105" spans="1:8">
      <c r="A105" s="93" t="s">
        <v>1101</v>
      </c>
      <c r="B105" s="94" t="s">
        <v>1115</v>
      </c>
      <c r="C105" s="95" t="s">
        <v>1108</v>
      </c>
      <c r="D105" s="95">
        <v>43728</v>
      </c>
      <c r="E105" s="96">
        <v>43760</v>
      </c>
      <c r="F105" s="95">
        <v>43737</v>
      </c>
      <c r="G105" s="95">
        <v>43743</v>
      </c>
      <c r="H105" s="92">
        <v>4</v>
      </c>
    </row>
    <row r="106" spans="1:8">
      <c r="A106" s="93" t="s">
        <v>1101</v>
      </c>
      <c r="B106" s="94" t="s">
        <v>1115</v>
      </c>
      <c r="C106" s="95" t="s">
        <v>1108</v>
      </c>
      <c r="D106" s="95">
        <v>43728</v>
      </c>
      <c r="E106" s="96">
        <v>43760</v>
      </c>
      <c r="F106" s="95">
        <v>43744</v>
      </c>
      <c r="G106" s="95">
        <v>43750</v>
      </c>
      <c r="H106" s="92">
        <v>4</v>
      </c>
    </row>
    <row r="107" spans="1:8">
      <c r="A107" s="93" t="s">
        <v>1101</v>
      </c>
      <c r="B107" s="94" t="s">
        <v>1115</v>
      </c>
      <c r="C107" s="95" t="s">
        <v>1108</v>
      </c>
      <c r="D107" s="95">
        <v>43728</v>
      </c>
      <c r="E107" s="96">
        <v>43760</v>
      </c>
      <c r="F107" s="95">
        <v>43751</v>
      </c>
      <c r="G107" s="95">
        <v>43757</v>
      </c>
      <c r="H107" s="92">
        <v>5</v>
      </c>
    </row>
    <row r="108" spans="1:8">
      <c r="A108" s="93" t="s">
        <v>1101</v>
      </c>
      <c r="B108" s="94" t="s">
        <v>1115</v>
      </c>
      <c r="C108" s="95" t="s">
        <v>1108</v>
      </c>
      <c r="D108" s="95">
        <v>43728</v>
      </c>
      <c r="E108" s="96">
        <v>43760</v>
      </c>
      <c r="F108" s="95">
        <v>43758</v>
      </c>
      <c r="G108" s="95">
        <v>43764</v>
      </c>
      <c r="H108" s="92">
        <v>2</v>
      </c>
    </row>
    <row r="109" spans="1:8">
      <c r="A109" s="93" t="s">
        <v>1102</v>
      </c>
      <c r="B109" s="94" t="s">
        <v>1103</v>
      </c>
      <c r="C109" s="95" t="s">
        <v>1109</v>
      </c>
      <c r="D109" s="95">
        <v>43728</v>
      </c>
      <c r="E109" s="96">
        <v>43760</v>
      </c>
      <c r="F109" s="95">
        <v>43724</v>
      </c>
      <c r="G109" s="95">
        <v>43729</v>
      </c>
      <c r="H109" s="92">
        <v>1</v>
      </c>
    </row>
    <row r="110" spans="1:8">
      <c r="A110" s="93" t="s">
        <v>1102</v>
      </c>
      <c r="B110" s="94" t="s">
        <v>1103</v>
      </c>
      <c r="C110" s="95" t="s">
        <v>1109</v>
      </c>
      <c r="D110" s="95">
        <v>43728</v>
      </c>
      <c r="E110" s="96">
        <v>43760</v>
      </c>
      <c r="F110" s="95">
        <v>43730</v>
      </c>
      <c r="G110" s="95">
        <v>43736</v>
      </c>
      <c r="H110" s="92">
        <v>5</v>
      </c>
    </row>
    <row r="111" spans="1:8">
      <c r="A111" s="93" t="s">
        <v>1102</v>
      </c>
      <c r="B111" s="94" t="s">
        <v>1103</v>
      </c>
      <c r="C111" s="95" t="s">
        <v>1109</v>
      </c>
      <c r="D111" s="95">
        <v>43728</v>
      </c>
      <c r="E111" s="96">
        <v>43760</v>
      </c>
      <c r="F111" s="95">
        <v>43737</v>
      </c>
      <c r="G111" s="95">
        <v>43743</v>
      </c>
      <c r="H111" s="92">
        <v>4</v>
      </c>
    </row>
    <row r="112" spans="1:8">
      <c r="A112" s="93" t="s">
        <v>1102</v>
      </c>
      <c r="B112" s="94" t="s">
        <v>1103</v>
      </c>
      <c r="C112" s="95" t="s">
        <v>1109</v>
      </c>
      <c r="D112" s="95">
        <v>43728</v>
      </c>
      <c r="E112" s="96">
        <v>43760</v>
      </c>
      <c r="F112" s="95">
        <v>43744</v>
      </c>
      <c r="G112" s="95">
        <v>43750</v>
      </c>
      <c r="H112" s="92">
        <v>4</v>
      </c>
    </row>
    <row r="113" spans="1:8">
      <c r="A113" s="93" t="s">
        <v>1102</v>
      </c>
      <c r="B113" s="94" t="s">
        <v>1103</v>
      </c>
      <c r="C113" s="95" t="s">
        <v>1109</v>
      </c>
      <c r="D113" s="95">
        <v>43728</v>
      </c>
      <c r="E113" s="96">
        <v>43760</v>
      </c>
      <c r="F113" s="95">
        <v>43751</v>
      </c>
      <c r="G113" s="95">
        <v>43757</v>
      </c>
      <c r="H113" s="92">
        <v>5</v>
      </c>
    </row>
    <row r="114" spans="1:8">
      <c r="A114" s="93" t="s">
        <v>1102</v>
      </c>
      <c r="B114" s="94" t="s">
        <v>1103</v>
      </c>
      <c r="C114" s="95" t="s">
        <v>1109</v>
      </c>
      <c r="D114" s="95">
        <v>43728</v>
      </c>
      <c r="E114" s="96">
        <v>43760</v>
      </c>
      <c r="F114" s="95">
        <v>43758</v>
      </c>
      <c r="G114" s="95">
        <v>43764</v>
      </c>
      <c r="H114" s="92">
        <v>2</v>
      </c>
    </row>
    <row r="115" spans="1:8">
      <c r="A115" s="93" t="s">
        <v>1116</v>
      </c>
      <c r="B115" s="94" t="s">
        <v>1104</v>
      </c>
      <c r="C115" s="95" t="s">
        <v>1110</v>
      </c>
      <c r="D115" s="95">
        <v>43728</v>
      </c>
      <c r="E115" s="96">
        <v>43760</v>
      </c>
      <c r="F115" s="95">
        <v>43724</v>
      </c>
      <c r="G115" s="95">
        <v>43729</v>
      </c>
      <c r="H115" s="92">
        <v>1</v>
      </c>
    </row>
    <row r="116" spans="1:8">
      <c r="A116" s="93" t="s">
        <v>1116</v>
      </c>
      <c r="B116" s="94" t="s">
        <v>1104</v>
      </c>
      <c r="C116" s="95" t="s">
        <v>1110</v>
      </c>
      <c r="D116" s="95">
        <v>43728</v>
      </c>
      <c r="E116" s="96">
        <v>43760</v>
      </c>
      <c r="F116" s="95">
        <v>43730</v>
      </c>
      <c r="G116" s="95">
        <v>43736</v>
      </c>
      <c r="H116" s="92">
        <v>5</v>
      </c>
    </row>
    <row r="117" spans="1:8">
      <c r="A117" s="93" t="s">
        <v>1116</v>
      </c>
      <c r="B117" s="94" t="s">
        <v>1104</v>
      </c>
      <c r="C117" s="95" t="s">
        <v>1110</v>
      </c>
      <c r="D117" s="95">
        <v>43728</v>
      </c>
      <c r="E117" s="96">
        <v>43760</v>
      </c>
      <c r="F117" s="95">
        <v>43737</v>
      </c>
      <c r="G117" s="95">
        <v>43743</v>
      </c>
      <c r="H117" s="92">
        <v>4</v>
      </c>
    </row>
    <row r="118" spans="1:8">
      <c r="A118" s="93" t="s">
        <v>1116</v>
      </c>
      <c r="B118" s="94" t="s">
        <v>1104</v>
      </c>
      <c r="C118" s="95" t="s">
        <v>1110</v>
      </c>
      <c r="D118" s="95">
        <v>43728</v>
      </c>
      <c r="E118" s="96">
        <v>43760</v>
      </c>
      <c r="F118" s="95">
        <v>43744</v>
      </c>
      <c r="G118" s="95">
        <v>43750</v>
      </c>
      <c r="H118" s="92">
        <v>4</v>
      </c>
    </row>
    <row r="119" spans="1:8">
      <c r="A119" s="93" t="s">
        <v>1116</v>
      </c>
      <c r="B119" s="94" t="s">
        <v>1104</v>
      </c>
      <c r="C119" s="95" t="s">
        <v>1110</v>
      </c>
      <c r="D119" s="95">
        <v>43728</v>
      </c>
      <c r="E119" s="96">
        <v>43760</v>
      </c>
      <c r="F119" s="95">
        <v>43751</v>
      </c>
      <c r="G119" s="95">
        <v>43757</v>
      </c>
      <c r="H119" s="92">
        <v>5</v>
      </c>
    </row>
    <row r="120" spans="1:8">
      <c r="A120" s="93" t="s">
        <v>1116</v>
      </c>
      <c r="B120" s="94" t="s">
        <v>1104</v>
      </c>
      <c r="C120" s="95" t="s">
        <v>1110</v>
      </c>
      <c r="D120" s="95">
        <v>43728</v>
      </c>
      <c r="E120" s="96">
        <v>43760</v>
      </c>
      <c r="F120" s="95">
        <v>43758</v>
      </c>
      <c r="G120" s="95">
        <v>43764</v>
      </c>
      <c r="H120" s="92">
        <v>2</v>
      </c>
    </row>
    <row r="121" spans="1:8">
      <c r="A121" s="93" t="s">
        <v>1117</v>
      </c>
      <c r="B121" s="94" t="s">
        <v>1105</v>
      </c>
      <c r="C121" s="95" t="s">
        <v>1111</v>
      </c>
      <c r="D121" s="95">
        <v>43728</v>
      </c>
      <c r="E121" s="96">
        <v>43760</v>
      </c>
      <c r="F121" s="95">
        <v>43724</v>
      </c>
      <c r="G121" s="95">
        <v>43729</v>
      </c>
      <c r="H121" s="92">
        <v>1</v>
      </c>
    </row>
    <row r="122" spans="1:8">
      <c r="A122" s="93" t="s">
        <v>1117</v>
      </c>
      <c r="B122" s="94" t="s">
        <v>1105</v>
      </c>
      <c r="C122" s="95" t="s">
        <v>1111</v>
      </c>
      <c r="D122" s="95">
        <v>43728</v>
      </c>
      <c r="E122" s="96">
        <v>43760</v>
      </c>
      <c r="F122" s="95">
        <v>43730</v>
      </c>
      <c r="G122" s="95">
        <v>43736</v>
      </c>
      <c r="H122" s="92">
        <v>5</v>
      </c>
    </row>
    <row r="123" spans="1:8">
      <c r="A123" s="93" t="s">
        <v>1117</v>
      </c>
      <c r="B123" s="94" t="s">
        <v>1105</v>
      </c>
      <c r="C123" s="95" t="s">
        <v>1111</v>
      </c>
      <c r="D123" s="95">
        <v>43728</v>
      </c>
      <c r="E123" s="96">
        <v>43760</v>
      </c>
      <c r="F123" s="95">
        <v>43737</v>
      </c>
      <c r="G123" s="95">
        <v>43743</v>
      </c>
      <c r="H123" s="92">
        <v>4</v>
      </c>
    </row>
    <row r="124" spans="1:8">
      <c r="A124" s="93" t="s">
        <v>1117</v>
      </c>
      <c r="B124" s="94" t="s">
        <v>1105</v>
      </c>
      <c r="C124" s="95" t="s">
        <v>1111</v>
      </c>
      <c r="D124" s="95">
        <v>43728</v>
      </c>
      <c r="E124" s="96">
        <v>43760</v>
      </c>
      <c r="F124" s="95">
        <v>43744</v>
      </c>
      <c r="G124" s="95">
        <v>43750</v>
      </c>
      <c r="H124" s="92">
        <v>4</v>
      </c>
    </row>
    <row r="125" spans="1:8">
      <c r="A125" s="93" t="s">
        <v>1117</v>
      </c>
      <c r="B125" s="94" t="s">
        <v>1105</v>
      </c>
      <c r="C125" s="95" t="s">
        <v>1111</v>
      </c>
      <c r="D125" s="95">
        <v>43728</v>
      </c>
      <c r="E125" s="96">
        <v>43760</v>
      </c>
      <c r="F125" s="95">
        <v>43751</v>
      </c>
      <c r="G125" s="95">
        <v>43757</v>
      </c>
      <c r="H125" s="92">
        <v>5</v>
      </c>
    </row>
    <row r="126" spans="1:8">
      <c r="A126" s="93" t="s">
        <v>1117</v>
      </c>
      <c r="B126" s="94" t="s">
        <v>1105</v>
      </c>
      <c r="C126" s="95" t="s">
        <v>1111</v>
      </c>
      <c r="D126" s="95">
        <v>43728</v>
      </c>
      <c r="E126" s="96">
        <v>43760</v>
      </c>
      <c r="F126" s="95">
        <v>43758</v>
      </c>
      <c r="G126" s="95">
        <v>43764</v>
      </c>
      <c r="H126" s="92">
        <v>2</v>
      </c>
    </row>
    <row r="127" spans="1:8">
      <c r="A127" s="93" t="s">
        <v>1118</v>
      </c>
      <c r="B127" s="94" t="s">
        <v>1106</v>
      </c>
      <c r="C127" s="95" t="s">
        <v>1112</v>
      </c>
      <c r="D127" s="95">
        <v>43728</v>
      </c>
      <c r="E127" s="96">
        <v>43760</v>
      </c>
      <c r="F127" s="95">
        <v>43724</v>
      </c>
      <c r="G127" s="95">
        <v>43729</v>
      </c>
      <c r="H127" s="92">
        <v>1</v>
      </c>
    </row>
    <row r="128" spans="1:8">
      <c r="A128" s="93" t="s">
        <v>1118</v>
      </c>
      <c r="B128" s="94" t="s">
        <v>1106</v>
      </c>
      <c r="C128" s="95" t="s">
        <v>1112</v>
      </c>
      <c r="D128" s="95">
        <v>43728</v>
      </c>
      <c r="E128" s="96">
        <v>43760</v>
      </c>
      <c r="F128" s="95">
        <v>43730</v>
      </c>
      <c r="G128" s="95">
        <v>43736</v>
      </c>
      <c r="H128" s="92">
        <v>5</v>
      </c>
    </row>
    <row r="129" spans="1:8">
      <c r="A129" s="93" t="s">
        <v>1118</v>
      </c>
      <c r="B129" s="94" t="s">
        <v>1106</v>
      </c>
      <c r="C129" s="95" t="s">
        <v>1112</v>
      </c>
      <c r="D129" s="95">
        <v>43728</v>
      </c>
      <c r="E129" s="96">
        <v>43760</v>
      </c>
      <c r="F129" s="95">
        <v>43737</v>
      </c>
      <c r="G129" s="95">
        <v>43743</v>
      </c>
      <c r="H129" s="92">
        <v>4</v>
      </c>
    </row>
    <row r="130" spans="1:8">
      <c r="A130" s="93" t="s">
        <v>1118</v>
      </c>
      <c r="B130" s="94" t="s">
        <v>1106</v>
      </c>
      <c r="C130" s="95" t="s">
        <v>1112</v>
      </c>
      <c r="D130" s="95">
        <v>43728</v>
      </c>
      <c r="E130" s="96">
        <v>43760</v>
      </c>
      <c r="F130" s="95">
        <v>43744</v>
      </c>
      <c r="G130" s="95">
        <v>43750</v>
      </c>
      <c r="H130" s="92">
        <v>4</v>
      </c>
    </row>
    <row r="131" spans="1:8">
      <c r="A131" s="93" t="s">
        <v>1118</v>
      </c>
      <c r="B131" s="94" t="s">
        <v>1106</v>
      </c>
      <c r="C131" s="95" t="s">
        <v>1112</v>
      </c>
      <c r="D131" s="95">
        <v>43728</v>
      </c>
      <c r="E131" s="96">
        <v>43760</v>
      </c>
      <c r="F131" s="95">
        <v>43751</v>
      </c>
      <c r="G131" s="95">
        <v>43757</v>
      </c>
      <c r="H131" s="92">
        <v>5</v>
      </c>
    </row>
    <row r="132" spans="1:8">
      <c r="A132" s="93" t="s">
        <v>1118</v>
      </c>
      <c r="B132" s="94" t="s">
        <v>1106</v>
      </c>
      <c r="C132" s="95" t="s">
        <v>1112</v>
      </c>
      <c r="D132" s="95">
        <v>43728</v>
      </c>
      <c r="E132" s="96">
        <v>43760</v>
      </c>
      <c r="F132" s="95">
        <v>43758</v>
      </c>
      <c r="G132" s="95">
        <v>43764</v>
      </c>
      <c r="H132" s="92">
        <v>2</v>
      </c>
    </row>
    <row r="133" spans="1:8">
      <c r="A133" s="93" t="s">
        <v>1010</v>
      </c>
      <c r="B133" s="94" t="s">
        <v>1011</v>
      </c>
      <c r="C133" s="95" t="s">
        <v>1108</v>
      </c>
      <c r="D133" s="95">
        <v>43760</v>
      </c>
      <c r="E133" s="96">
        <v>43761</v>
      </c>
      <c r="F133" s="95">
        <v>43758</v>
      </c>
      <c r="G133" s="95">
        <v>43764</v>
      </c>
      <c r="H133" s="92">
        <v>2</v>
      </c>
    </row>
    <row r="134" spans="1:8">
      <c r="A134" s="93" t="s">
        <v>1012</v>
      </c>
      <c r="B134" s="94" t="s">
        <v>1013</v>
      </c>
      <c r="C134" s="95" t="s">
        <v>1108</v>
      </c>
      <c r="D134" s="95">
        <v>43760</v>
      </c>
      <c r="E134" s="96">
        <v>43761</v>
      </c>
      <c r="F134" s="95">
        <v>43758</v>
      </c>
      <c r="G134" s="95">
        <v>43764</v>
      </c>
      <c r="H134" s="92">
        <v>2</v>
      </c>
    </row>
    <row r="135" spans="1:8">
      <c r="A135" s="93" t="s">
        <v>1016</v>
      </c>
      <c r="B135" s="94" t="s">
        <v>1017</v>
      </c>
      <c r="C135" s="95" t="s">
        <v>1108</v>
      </c>
      <c r="D135" s="95">
        <v>43761</v>
      </c>
      <c r="E135" s="96">
        <v>43761</v>
      </c>
      <c r="F135" s="95">
        <v>43758</v>
      </c>
      <c r="G135" s="95">
        <v>43764</v>
      </c>
      <c r="H135" s="92">
        <v>0.16666666666666666</v>
      </c>
    </row>
    <row r="136" spans="1:8">
      <c r="A136" s="93" t="s">
        <v>1016</v>
      </c>
      <c r="B136" s="94" t="s">
        <v>1017</v>
      </c>
      <c r="C136" s="95" t="s">
        <v>1107</v>
      </c>
      <c r="D136" s="95">
        <v>43761</v>
      </c>
      <c r="E136" s="96">
        <v>43761</v>
      </c>
      <c r="F136" s="95">
        <v>43758</v>
      </c>
      <c r="G136" s="95">
        <v>43764</v>
      </c>
      <c r="H136" s="92">
        <v>0.16666666666666666</v>
      </c>
    </row>
    <row r="137" spans="1:8">
      <c r="A137" s="93" t="s">
        <v>1016</v>
      </c>
      <c r="B137" s="94" t="s">
        <v>1017</v>
      </c>
      <c r="C137" s="95" t="s">
        <v>1109</v>
      </c>
      <c r="D137" s="95">
        <v>43761</v>
      </c>
      <c r="E137" s="96">
        <v>43761</v>
      </c>
      <c r="F137" s="95">
        <v>43758</v>
      </c>
      <c r="G137" s="95">
        <v>43764</v>
      </c>
      <c r="H137" s="92">
        <v>0.16666666666666666</v>
      </c>
    </row>
    <row r="138" spans="1:8">
      <c r="A138" s="93" t="s">
        <v>1016</v>
      </c>
      <c r="B138" s="94" t="s">
        <v>1017</v>
      </c>
      <c r="C138" s="95" t="s">
        <v>1111</v>
      </c>
      <c r="D138" s="95">
        <v>43761</v>
      </c>
      <c r="E138" s="96">
        <v>43761</v>
      </c>
      <c r="F138" s="95">
        <v>43758</v>
      </c>
      <c r="G138" s="95">
        <v>43764</v>
      </c>
      <c r="H138" s="92">
        <v>0.16666666666666666</v>
      </c>
    </row>
    <row r="139" spans="1:8">
      <c r="A139" s="93" t="s">
        <v>1016</v>
      </c>
      <c r="B139" s="94" t="s">
        <v>1017</v>
      </c>
      <c r="C139" s="95" t="s">
        <v>1110</v>
      </c>
      <c r="D139" s="95">
        <v>43761</v>
      </c>
      <c r="E139" s="96">
        <v>43761</v>
      </c>
      <c r="F139" s="95">
        <v>43758</v>
      </c>
      <c r="G139" s="95">
        <v>43764</v>
      </c>
      <c r="H139" s="92">
        <v>0.16666666666666666</v>
      </c>
    </row>
    <row r="140" spans="1:8">
      <c r="A140" s="93" t="s">
        <v>1016</v>
      </c>
      <c r="B140" s="94" t="s">
        <v>1017</v>
      </c>
      <c r="C140" s="95" t="s">
        <v>1112</v>
      </c>
      <c r="D140" s="95">
        <v>43761</v>
      </c>
      <c r="E140" s="96">
        <v>43761</v>
      </c>
      <c r="F140" s="95">
        <v>43758</v>
      </c>
      <c r="G140" s="95">
        <v>43764</v>
      </c>
      <c r="H140" s="92">
        <v>0.16666666666666666</v>
      </c>
    </row>
    <row r="141" spans="1:8">
      <c r="A141" s="93" t="s">
        <v>1019</v>
      </c>
      <c r="B141" s="94" t="s">
        <v>1020</v>
      </c>
      <c r="C141" s="95" t="s">
        <v>1108</v>
      </c>
      <c r="D141" s="95">
        <v>43762</v>
      </c>
      <c r="E141" s="96">
        <v>43762</v>
      </c>
      <c r="F141" s="95">
        <v>43758</v>
      </c>
      <c r="G141" s="95">
        <v>43764</v>
      </c>
      <c r="H141" s="92">
        <v>0.16666666666666666</v>
      </c>
    </row>
    <row r="142" spans="1:8">
      <c r="A142" s="93" t="s">
        <v>1019</v>
      </c>
      <c r="B142" s="94" t="s">
        <v>1020</v>
      </c>
      <c r="C142" s="95" t="s">
        <v>1107</v>
      </c>
      <c r="D142" s="95">
        <v>43762</v>
      </c>
      <c r="E142" s="96">
        <v>43762</v>
      </c>
      <c r="F142" s="95">
        <v>43758</v>
      </c>
      <c r="G142" s="95">
        <v>43764</v>
      </c>
      <c r="H142" s="92">
        <v>0.16666666666666666</v>
      </c>
    </row>
    <row r="143" spans="1:8">
      <c r="A143" s="93" t="s">
        <v>1019</v>
      </c>
      <c r="B143" s="94" t="s">
        <v>1020</v>
      </c>
      <c r="C143" s="95" t="s">
        <v>1109</v>
      </c>
      <c r="D143" s="95">
        <v>43762</v>
      </c>
      <c r="E143" s="96">
        <v>43762</v>
      </c>
      <c r="F143" s="95">
        <v>43758</v>
      </c>
      <c r="G143" s="95">
        <v>43764</v>
      </c>
      <c r="H143" s="92">
        <v>0.16666666666666666</v>
      </c>
    </row>
    <row r="144" spans="1:8">
      <c r="A144" s="93" t="s">
        <v>1019</v>
      </c>
      <c r="B144" s="94" t="s">
        <v>1020</v>
      </c>
      <c r="C144" s="95" t="s">
        <v>1111</v>
      </c>
      <c r="D144" s="95">
        <v>43762</v>
      </c>
      <c r="E144" s="96">
        <v>43762</v>
      </c>
      <c r="F144" s="95">
        <v>43758</v>
      </c>
      <c r="G144" s="95">
        <v>43764</v>
      </c>
      <c r="H144" s="92">
        <v>0.16666666666666666</v>
      </c>
    </row>
    <row r="145" spans="1:8">
      <c r="A145" s="93" t="s">
        <v>1019</v>
      </c>
      <c r="B145" s="94" t="s">
        <v>1020</v>
      </c>
      <c r="C145" s="95" t="s">
        <v>1110</v>
      </c>
      <c r="D145" s="95">
        <v>43762</v>
      </c>
      <c r="E145" s="96">
        <v>43762</v>
      </c>
      <c r="F145" s="95">
        <v>43758</v>
      </c>
      <c r="G145" s="95">
        <v>43764</v>
      </c>
      <c r="H145" s="92">
        <v>0.16666666666666666</v>
      </c>
    </row>
    <row r="146" spans="1:8">
      <c r="A146" s="93" t="s">
        <v>1019</v>
      </c>
      <c r="B146" s="94" t="s">
        <v>1020</v>
      </c>
      <c r="C146" s="95" t="s">
        <v>1112</v>
      </c>
      <c r="D146" s="95">
        <v>43762</v>
      </c>
      <c r="E146" s="96">
        <v>43762</v>
      </c>
      <c r="F146" s="95">
        <v>43758</v>
      </c>
      <c r="G146" s="95">
        <v>43764</v>
      </c>
      <c r="H146" s="92">
        <v>0.16666666666666666</v>
      </c>
    </row>
    <row r="147" spans="1:8">
      <c r="A147" s="93" t="s">
        <v>1021</v>
      </c>
      <c r="B147" s="94" t="s">
        <v>1022</v>
      </c>
      <c r="C147" s="95" t="s">
        <v>1112</v>
      </c>
      <c r="D147" s="95">
        <v>43762</v>
      </c>
      <c r="E147" s="96">
        <v>43762</v>
      </c>
      <c r="F147" s="95">
        <v>43758</v>
      </c>
      <c r="G147" s="95">
        <v>43764</v>
      </c>
      <c r="H147" s="92">
        <v>0.5</v>
      </c>
    </row>
    <row r="148" spans="1:8">
      <c r="A148" s="93" t="s">
        <v>1021</v>
      </c>
      <c r="B148" s="94" t="s">
        <v>1022</v>
      </c>
      <c r="C148" s="95" t="s">
        <v>1108</v>
      </c>
      <c r="D148" s="95">
        <v>43762</v>
      </c>
      <c r="E148" s="96">
        <v>43762</v>
      </c>
      <c r="F148" s="95">
        <v>43758</v>
      </c>
      <c r="G148" s="95">
        <v>43764</v>
      </c>
      <c r="H148" s="92">
        <v>0.5</v>
      </c>
    </row>
    <row r="149" spans="1:8">
      <c r="A149" s="93" t="s">
        <v>1023</v>
      </c>
      <c r="B149" s="94" t="s">
        <v>1024</v>
      </c>
      <c r="C149" s="95" t="s">
        <v>1112</v>
      </c>
      <c r="D149" s="95">
        <v>43762</v>
      </c>
      <c r="E149" s="96">
        <v>43762</v>
      </c>
      <c r="F149" s="95">
        <v>43758</v>
      </c>
      <c r="G149" s="95">
        <v>43764</v>
      </c>
      <c r="H149" s="92">
        <v>0.5</v>
      </c>
    </row>
    <row r="150" spans="1:8">
      <c r="A150" s="93" t="s">
        <v>1023</v>
      </c>
      <c r="B150" s="94" t="s">
        <v>1024</v>
      </c>
      <c r="C150" s="95" t="s">
        <v>1108</v>
      </c>
      <c r="D150" s="95">
        <v>43762</v>
      </c>
      <c r="E150" s="96">
        <v>43762</v>
      </c>
      <c r="F150" s="95">
        <v>43758</v>
      </c>
      <c r="G150" s="95">
        <v>43764</v>
      </c>
      <c r="H150" s="92">
        <v>0.5</v>
      </c>
    </row>
    <row r="151" spans="1:8">
      <c r="A151" s="93" t="s">
        <v>1025</v>
      </c>
      <c r="B151" s="94" t="s">
        <v>1026</v>
      </c>
      <c r="C151" s="95" t="s">
        <v>1112</v>
      </c>
      <c r="D151" s="95">
        <v>43763</v>
      </c>
      <c r="E151" s="96">
        <v>43763</v>
      </c>
      <c r="F151" s="95">
        <v>43758</v>
      </c>
      <c r="G151" s="95">
        <v>43764</v>
      </c>
      <c r="H151" s="92">
        <v>0.5</v>
      </c>
    </row>
    <row r="152" spans="1:8">
      <c r="A152" s="93" t="s">
        <v>1025</v>
      </c>
      <c r="B152" s="94" t="s">
        <v>1026</v>
      </c>
      <c r="C152" s="95" t="s">
        <v>1108</v>
      </c>
      <c r="D152" s="95">
        <v>43763</v>
      </c>
      <c r="E152" s="96">
        <v>43763</v>
      </c>
      <c r="F152" s="95">
        <v>43758</v>
      </c>
      <c r="G152" s="95">
        <v>43764</v>
      </c>
      <c r="H152" s="92">
        <v>0.5</v>
      </c>
    </row>
    <row r="153" spans="1:8">
      <c r="G153" s="92" t="s">
        <v>4</v>
      </c>
      <c r="H153" s="92">
        <f>SUM(H2:H152)</f>
        <v>173.99999999999991</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Sheet8">
    <outlinePr summaryBelow="0"/>
    <pageSetUpPr fitToPage="1"/>
  </sheetPr>
  <dimension ref="A1:CA128"/>
  <sheetViews>
    <sheetView tabSelected="1" topLeftCell="L1" zoomScale="145" zoomScaleNormal="145" zoomScalePageLayoutView="55" workbookViewId="0">
      <pane ySplit="4" topLeftCell="A5" activePane="bottomLeft" state="frozen"/>
      <selection activeCell="E5" sqref="E5"/>
      <selection pane="bottomLeft" activeCell="D5" sqref="D5"/>
    </sheetView>
  </sheetViews>
  <sheetFormatPr defaultColWidth="9" defaultRowHeight="12" outlineLevelRow="5"/>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70" width="1.875" style="114" customWidth="1"/>
    <col min="71" max="16384" width="9" style="114"/>
  </cols>
  <sheetData>
    <row r="1" spans="1:79" s="158" customFormat="1" ht="20.100000000000001" customHeight="1">
      <c r="A1" s="141"/>
      <c r="B1" s="151"/>
      <c r="C1" s="142"/>
      <c r="D1" s="143" t="str">
        <f ca="1">xlgantt.ProjectName()</f>
        <v>Final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2019-09-16~2019-10-25 [계획:100.00% 실적:54.89%]</v>
      </c>
      <c r="AC1" s="227" t="s">
        <v>1153</v>
      </c>
      <c r="AD1" s="227"/>
      <c r="AE1" s="227"/>
      <c r="AF1" s="227"/>
      <c r="AG1" s="227"/>
      <c r="AH1" s="227"/>
      <c r="AI1" s="227"/>
      <c r="AJ1" s="227"/>
      <c r="AK1" s="227"/>
      <c r="AL1" s="227"/>
      <c r="AM1" s="227"/>
      <c r="AN1" s="227"/>
      <c r="AO1" s="227"/>
      <c r="AP1" s="227"/>
      <c r="AQ1" s="227"/>
      <c r="AR1" s="227"/>
      <c r="AS1" s="227"/>
      <c r="AT1" s="227"/>
      <c r="AU1" s="227"/>
      <c r="AV1" s="227"/>
      <c r="AW1" s="227"/>
      <c r="AX1" s="227"/>
      <c r="AY1" s="227"/>
      <c r="AZ1" s="227"/>
      <c r="BA1" s="227"/>
      <c r="BB1" s="227"/>
      <c r="BC1" s="227"/>
      <c r="BD1" s="227"/>
      <c r="BE1" s="227"/>
      <c r="BF1" s="227"/>
      <c r="BG1" s="227"/>
      <c r="BH1" s="227"/>
      <c r="BI1" s="227"/>
      <c r="BJ1" s="227"/>
      <c r="BK1" s="227"/>
      <c r="BL1" s="227"/>
      <c r="BM1" s="227"/>
      <c r="BN1" s="227"/>
      <c r="BO1" s="227"/>
      <c r="BP1" s="227"/>
      <c r="BQ1" s="227"/>
      <c r="BR1" s="227"/>
      <c r="BS1" s="227"/>
      <c r="BT1" s="227"/>
      <c r="BU1" s="227"/>
      <c r="BV1" s="227"/>
      <c r="BW1" s="227"/>
      <c r="BX1" s="227"/>
      <c r="BY1" s="227"/>
      <c r="BZ1" s="227"/>
      <c r="CA1" s="227"/>
    </row>
    <row r="2" spans="1:79" s="158" customFormat="1" ht="15" customHeight="1">
      <c r="A2" s="159"/>
      <c r="B2" s="159"/>
      <c r="C2" s="160"/>
      <c r="D2" s="238"/>
      <c r="E2" s="238"/>
      <c r="F2" s="238"/>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1156</v>
      </c>
    </row>
    <row r="3" spans="1:79" s="1" customFormat="1" ht="20.100000000000001" customHeight="1">
      <c r="A3" s="229" t="s">
        <v>1157</v>
      </c>
      <c r="B3" s="231" t="s">
        <v>1158</v>
      </c>
      <c r="C3" s="233" t="s">
        <v>1159</v>
      </c>
      <c r="D3" s="234" t="s">
        <v>1160</v>
      </c>
      <c r="E3" s="235" t="s">
        <v>1161</v>
      </c>
      <c r="F3" s="236"/>
      <c r="G3" s="236"/>
      <c r="H3" s="236"/>
      <c r="I3" s="236"/>
      <c r="J3" s="236"/>
      <c r="K3" s="237"/>
      <c r="L3" s="218" t="s">
        <v>1162</v>
      </c>
      <c r="M3" s="218" t="s">
        <v>1154</v>
      </c>
      <c r="N3" s="218" t="s">
        <v>1163</v>
      </c>
      <c r="O3" s="239" t="s">
        <v>1164</v>
      </c>
      <c r="P3" s="217" t="s">
        <v>1165</v>
      </c>
      <c r="Q3" s="217" t="s">
        <v>1166</v>
      </c>
      <c r="R3" s="217" t="s">
        <v>1155</v>
      </c>
      <c r="S3" s="217" t="s">
        <v>1167</v>
      </c>
      <c r="T3" s="220" t="s">
        <v>1168</v>
      </c>
      <c r="U3" s="220" t="s">
        <v>1169</v>
      </c>
      <c r="V3" s="221" t="s">
        <v>1170</v>
      </c>
      <c r="W3" s="222" t="s">
        <v>1171</v>
      </c>
      <c r="X3" s="223" t="s">
        <v>1172</v>
      </c>
      <c r="Y3" s="218" t="s">
        <v>1173</v>
      </c>
      <c r="Z3" s="231" t="s">
        <v>1174</v>
      </c>
      <c r="AA3" s="224" t="s">
        <v>1175</v>
      </c>
      <c r="AB3" s="219" t="s">
        <v>1176</v>
      </c>
      <c r="AC3" s="225">
        <v>43723</v>
      </c>
      <c r="AD3" s="226"/>
      <c r="AE3" s="226"/>
      <c r="AF3" s="226"/>
      <c r="AG3" s="226">
        <v>43763</v>
      </c>
      <c r="AH3" s="226"/>
      <c r="AI3" s="226"/>
      <c r="AJ3" s="228"/>
    </row>
    <row r="4" spans="1:79" s="2" customFormat="1" ht="5.0999999999999996" customHeight="1">
      <c r="A4" s="230"/>
      <c r="B4" s="232"/>
      <c r="C4" s="229"/>
      <c r="D4" s="234"/>
      <c r="E4" s="235"/>
      <c r="F4" s="236"/>
      <c r="G4" s="236"/>
      <c r="H4" s="236"/>
      <c r="I4" s="236"/>
      <c r="J4" s="236"/>
      <c r="K4" s="237"/>
      <c r="L4" s="218"/>
      <c r="M4" s="218"/>
      <c r="N4" s="218"/>
      <c r="O4" s="239"/>
      <c r="P4" s="217"/>
      <c r="Q4" s="217"/>
      <c r="R4" s="217"/>
      <c r="S4" s="217"/>
      <c r="T4" s="218"/>
      <c r="U4" s="218"/>
      <c r="V4" s="221"/>
      <c r="W4" s="222"/>
      <c r="X4" s="223"/>
      <c r="Y4" s="218"/>
      <c r="Z4" s="231"/>
      <c r="AA4" s="224"/>
      <c r="AB4" s="219"/>
      <c r="AC4" s="112">
        <v>43723</v>
      </c>
      <c r="AD4" s="113">
        <v>43730</v>
      </c>
      <c r="AE4" s="113">
        <v>43737</v>
      </c>
      <c r="AF4" s="113">
        <v>43744</v>
      </c>
      <c r="AG4" s="113">
        <v>43751</v>
      </c>
      <c r="AH4" s="113">
        <v>43758</v>
      </c>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row>
    <row r="5" spans="1:79">
      <c r="A5" s="116"/>
      <c r="B5" s="116" t="s">
        <v>1044</v>
      </c>
      <c r="C5" s="116">
        <v>1</v>
      </c>
      <c r="D5" s="3" t="s">
        <v>1045</v>
      </c>
      <c r="E5" s="184" t="s">
        <v>532</v>
      </c>
      <c r="F5" s="184"/>
      <c r="G5" s="184"/>
      <c r="H5" s="184"/>
      <c r="I5" s="184"/>
      <c r="J5" s="184"/>
      <c r="K5" s="184"/>
      <c r="L5" s="184"/>
      <c r="M5" s="185">
        <v>43724</v>
      </c>
      <c r="N5" s="185">
        <v>43763</v>
      </c>
      <c r="O5" s="186"/>
      <c r="P5" s="187">
        <v>17</v>
      </c>
      <c r="Q5" s="187">
        <v>17</v>
      </c>
      <c r="R5" s="188">
        <v>28</v>
      </c>
      <c r="S5" s="188">
        <v>28</v>
      </c>
      <c r="T5" s="185"/>
      <c r="U5" s="185"/>
      <c r="V5" s="189">
        <v>0</v>
      </c>
      <c r="W5" s="190">
        <v>0</v>
      </c>
      <c r="X5" s="191"/>
      <c r="Y5" s="186"/>
      <c r="Z5" s="192"/>
      <c r="AA5" s="97">
        <v>1</v>
      </c>
      <c r="AB5" s="193">
        <v>1</v>
      </c>
      <c r="AC5" s="123"/>
      <c r="AD5" s="4"/>
      <c r="AE5" s="4"/>
      <c r="AF5" s="4"/>
      <c r="AG5" s="4"/>
      <c r="AH5" s="4" t="str">
        <f>"      " &amp; TEXT(AB5,"#0.00%") &amp; " " &amp; "프로젝트 관리" &amp; " " &amp; IF(M5="","",TEXT(M5,"M/D-")) &amp; IF(N5="","",TEXT(N5,"M/D")) &amp; " "</f>
        <v xml:space="preserve">      100.00% 프로젝트 관리 9/16-10/25 </v>
      </c>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row>
    <row r="6" spans="1:79" outlineLevel="1">
      <c r="A6" s="116"/>
      <c r="B6" s="116" t="s">
        <v>1044</v>
      </c>
      <c r="C6" s="116">
        <v>2</v>
      </c>
      <c r="D6" s="3" t="s">
        <v>1046</v>
      </c>
      <c r="E6" s="184"/>
      <c r="F6" s="184" t="s">
        <v>907</v>
      </c>
      <c r="G6" s="184"/>
      <c r="H6" s="184"/>
      <c r="I6" s="184"/>
      <c r="J6" s="184"/>
      <c r="K6" s="184"/>
      <c r="L6" s="184"/>
      <c r="M6" s="185">
        <v>43724</v>
      </c>
      <c r="N6" s="185">
        <v>43726</v>
      </c>
      <c r="O6" s="186"/>
      <c r="P6" s="187">
        <v>4</v>
      </c>
      <c r="Q6" s="187">
        <v>4</v>
      </c>
      <c r="R6" s="188">
        <v>3</v>
      </c>
      <c r="S6" s="188">
        <v>3</v>
      </c>
      <c r="T6" s="185"/>
      <c r="U6" s="185"/>
      <c r="V6" s="189">
        <v>0</v>
      </c>
      <c r="W6" s="190">
        <v>0</v>
      </c>
      <c r="X6" s="191"/>
      <c r="Y6" s="186"/>
      <c r="Z6" s="192"/>
      <c r="AA6" s="97">
        <v>1</v>
      </c>
      <c r="AB6" s="193">
        <v>1</v>
      </c>
      <c r="AC6" s="123" t="str">
        <f>"    " &amp; TEXT(AB6,"#0.00%") &amp; " " &amp; "프로젝트 착수 및 계획수립" &amp; " " &amp; IF(M6="","",TEXT(M6,"M/D-")) &amp; IF(N6="","",TEXT(N6,"M/D")) &amp; " "</f>
        <v xml:space="preserve">    100.00% 프로젝트 착수 및 계획수립 9/16-9/18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row>
    <row r="7" spans="1:79" outlineLevel="2">
      <c r="A7" s="116"/>
      <c r="B7" s="116"/>
      <c r="C7" s="116">
        <v>3</v>
      </c>
      <c r="D7" s="3" t="s">
        <v>984</v>
      </c>
      <c r="E7" s="184"/>
      <c r="F7" s="184"/>
      <c r="G7" s="184" t="s">
        <v>0</v>
      </c>
      <c r="H7" s="184"/>
      <c r="I7" s="184"/>
      <c r="J7" s="184"/>
      <c r="K7" s="184"/>
      <c r="L7" s="184"/>
      <c r="M7" s="185">
        <v>43724</v>
      </c>
      <c r="N7" s="185">
        <v>43725</v>
      </c>
      <c r="O7" s="186"/>
      <c r="P7" s="187">
        <v>2</v>
      </c>
      <c r="Q7" s="187">
        <v>2</v>
      </c>
      <c r="R7" s="188">
        <v>2</v>
      </c>
      <c r="S7" s="188">
        <v>2</v>
      </c>
      <c r="T7" s="185">
        <v>43305</v>
      </c>
      <c r="U7" s="185">
        <v>43306</v>
      </c>
      <c r="V7" s="189">
        <v>2</v>
      </c>
      <c r="W7" s="190">
        <v>2</v>
      </c>
      <c r="X7" s="191">
        <v>1</v>
      </c>
      <c r="Y7" s="186" t="s">
        <v>1097</v>
      </c>
      <c r="Z7" s="192"/>
      <c r="AA7" s="97">
        <v>1</v>
      </c>
      <c r="AB7" s="193">
        <v>1</v>
      </c>
      <c r="AC7" s="123" t="str">
        <f>"   " &amp; TEXT(AB7,"#0.00%") &amp; " " &amp; "프로젝트 착수" &amp; "(김세종,정준모,조규민,이태성,배재준,안희수)" &amp; " " &amp; IF(M7="","",TEXT(M7,"M/D-")) &amp; IF(N7="","",TEXT(N7,"M/D")) &amp; " "</f>
        <v xml:space="preserve">   100.00% 프로젝트 착수(김세종,정준모,조규민,이태성,배재준,안희수) 9/16-9/17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row>
    <row r="8" spans="1:79" outlineLevel="2">
      <c r="A8" s="116"/>
      <c r="B8" s="116" t="s">
        <v>1044</v>
      </c>
      <c r="C8" s="116">
        <v>3</v>
      </c>
      <c r="D8" s="3" t="s">
        <v>1047</v>
      </c>
      <c r="E8" s="184"/>
      <c r="F8" s="184"/>
      <c r="G8" s="184" t="s">
        <v>908</v>
      </c>
      <c r="H8" s="184"/>
      <c r="I8" s="184"/>
      <c r="J8" s="184"/>
      <c r="K8" s="184"/>
      <c r="L8" s="184"/>
      <c r="M8" s="185">
        <v>43725</v>
      </c>
      <c r="N8" s="185">
        <v>43726</v>
      </c>
      <c r="O8" s="186"/>
      <c r="P8" s="187">
        <v>2</v>
      </c>
      <c r="Q8" s="187">
        <v>2</v>
      </c>
      <c r="R8" s="188">
        <v>2</v>
      </c>
      <c r="S8" s="188">
        <v>2</v>
      </c>
      <c r="T8" s="185"/>
      <c r="U8" s="185"/>
      <c r="V8" s="189">
        <v>0</v>
      </c>
      <c r="W8" s="190">
        <v>0</v>
      </c>
      <c r="X8" s="191"/>
      <c r="Y8" s="186"/>
      <c r="Z8" s="192"/>
      <c r="AA8" s="97">
        <v>1</v>
      </c>
      <c r="AB8" s="193">
        <v>1</v>
      </c>
      <c r="AC8" s="123" t="str">
        <f>"    " &amp; TEXT(AB8,"#0.00%") &amp; " " &amp; "프로젝트 범위정의" &amp; " " &amp; IF(M8="","",TEXT(M8,"M/D-")) &amp; IF(N8="","",TEXT(N8,"M/D")) &amp; " "</f>
        <v xml:space="preserve">    100.00% 프로젝트 범위정의 9/17-9/18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row>
    <row r="9" spans="1:79" outlineLevel="3">
      <c r="A9" s="116"/>
      <c r="B9" s="116"/>
      <c r="C9" s="116">
        <v>4</v>
      </c>
      <c r="D9" s="3" t="s">
        <v>444</v>
      </c>
      <c r="E9" s="184"/>
      <c r="F9" s="184"/>
      <c r="G9" s="184"/>
      <c r="H9" s="184" t="s">
        <v>427</v>
      </c>
      <c r="I9" s="184"/>
      <c r="J9" s="184"/>
      <c r="K9" s="184"/>
      <c r="L9" s="184"/>
      <c r="M9" s="185">
        <v>43725</v>
      </c>
      <c r="N9" s="185">
        <v>43726</v>
      </c>
      <c r="O9" s="186"/>
      <c r="P9" s="187">
        <v>2</v>
      </c>
      <c r="Q9" s="187">
        <v>2</v>
      </c>
      <c r="R9" s="188">
        <v>2</v>
      </c>
      <c r="S9" s="188">
        <v>2</v>
      </c>
      <c r="T9" s="185">
        <v>43309</v>
      </c>
      <c r="U9" s="185">
        <v>43315</v>
      </c>
      <c r="V9" s="189">
        <v>5</v>
      </c>
      <c r="W9" s="190">
        <v>5</v>
      </c>
      <c r="X9" s="191">
        <v>1</v>
      </c>
      <c r="Y9" s="186" t="s">
        <v>1097</v>
      </c>
      <c r="Z9" s="192"/>
      <c r="AA9" s="97">
        <v>1</v>
      </c>
      <c r="AB9" s="193">
        <v>1</v>
      </c>
      <c r="AC9" s="123" t="str">
        <f>"    " &amp; TEXT(AB9,"#0.00%") &amp; " " &amp; "프로젝트 계획 수립" &amp; "(김세종,정준모,조규민,이태성,배재준,안희수)" &amp; " " &amp; IF(M9="","",TEXT(M9,"M/D-")) &amp; IF(N9="","",TEXT(N9,"M/D")) &amp; " "</f>
        <v xml:space="preserve">    100.00% 프로젝트 계획 수립(김세종,정준모,조규민,이태성,배재준,안희수) 9/17-9/18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row>
    <row r="10" spans="1:79" outlineLevel="1">
      <c r="A10" s="116"/>
      <c r="B10" s="116" t="s">
        <v>1044</v>
      </c>
      <c r="C10" s="116">
        <v>2</v>
      </c>
      <c r="D10" s="3" t="s">
        <v>1048</v>
      </c>
      <c r="E10" s="184"/>
      <c r="F10" s="184" t="s">
        <v>986</v>
      </c>
      <c r="G10" s="184"/>
      <c r="H10" s="184"/>
      <c r="I10" s="184"/>
      <c r="J10" s="184"/>
      <c r="K10" s="184"/>
      <c r="L10" s="184"/>
      <c r="M10" s="185">
        <v>43731</v>
      </c>
      <c r="N10" s="185">
        <v>43763</v>
      </c>
      <c r="O10" s="186"/>
      <c r="P10" s="187">
        <v>6</v>
      </c>
      <c r="Q10" s="187">
        <v>6</v>
      </c>
      <c r="R10" s="188">
        <v>23</v>
      </c>
      <c r="S10" s="188">
        <v>23</v>
      </c>
      <c r="T10" s="185"/>
      <c r="U10" s="185"/>
      <c r="V10" s="189">
        <v>0</v>
      </c>
      <c r="W10" s="190">
        <v>0</v>
      </c>
      <c r="X10" s="191"/>
      <c r="Y10" s="186"/>
      <c r="Z10" s="192"/>
      <c r="AA10" s="97">
        <v>1</v>
      </c>
      <c r="AB10" s="97">
        <v>1</v>
      </c>
      <c r="AC10" s="123"/>
      <c r="AD10" s="4"/>
      <c r="AE10" s="4"/>
      <c r="AF10" s="4"/>
      <c r="AG10" s="4"/>
      <c r="AH10" s="4" t="str">
        <f>"      " &amp; TEXT(AB10,"#0.00%") &amp; " " &amp; "프로젝트 수행 및 통제" &amp; " " &amp; IF(M10="","",TEXT(M10,"M/D-")) &amp; IF(N10="","",TEXT(N10,"M/D")) &amp; " "</f>
        <v xml:space="preserve">      100.00% 프로젝트 수행 및 통제 9/23-10/25 </v>
      </c>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row>
    <row r="11" spans="1:79" outlineLevel="2">
      <c r="A11" s="116"/>
      <c r="B11" s="116"/>
      <c r="C11" s="116">
        <v>3</v>
      </c>
      <c r="D11" s="3" t="s">
        <v>431</v>
      </c>
      <c r="E11" s="184"/>
      <c r="F11" s="184"/>
      <c r="G11" s="184" t="s">
        <v>1094</v>
      </c>
      <c r="H11" s="184"/>
      <c r="I11" s="184"/>
      <c r="J11" s="184"/>
      <c r="K11" s="184"/>
      <c r="L11" s="184"/>
      <c r="M11" s="185">
        <v>43731</v>
      </c>
      <c r="N11" s="185">
        <v>43731</v>
      </c>
      <c r="O11" s="186"/>
      <c r="P11" s="187">
        <v>1</v>
      </c>
      <c r="Q11" s="187">
        <v>1</v>
      </c>
      <c r="R11" s="188">
        <v>1</v>
      </c>
      <c r="S11" s="188">
        <v>1</v>
      </c>
      <c r="T11" s="185">
        <v>43330</v>
      </c>
      <c r="U11" s="185">
        <v>43334</v>
      </c>
      <c r="V11" s="189">
        <v>3</v>
      </c>
      <c r="W11" s="190">
        <v>3</v>
      </c>
      <c r="X11" s="191">
        <v>1</v>
      </c>
      <c r="Y11" s="186" t="s">
        <v>1120</v>
      </c>
      <c r="Z11" s="192"/>
      <c r="AA11" s="97">
        <v>1</v>
      </c>
      <c r="AB11" s="97">
        <v>1</v>
      </c>
      <c r="AC11" s="123"/>
      <c r="AD11" s="4" t="str">
        <f>"  " &amp; TEXT(AB11,"#0.00%") &amp; " " &amp; "주기별 보고1" &amp; "(김세종,정준모)" &amp; " " &amp; IF(M11="","",TEXT(M11,"M/D-")) &amp; IF(N11="","",TEXT(N11,"M/D")) &amp; " "</f>
        <v xml:space="preserve">  100.00% 주기별 보고1(김세종,정준모) 9/23-9/23 </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row>
    <row r="12" spans="1:79" outlineLevel="2">
      <c r="A12" s="116"/>
      <c r="B12" s="116"/>
      <c r="C12" s="116">
        <v>3</v>
      </c>
      <c r="D12" s="3" t="s">
        <v>432</v>
      </c>
      <c r="E12" s="184"/>
      <c r="F12" s="184"/>
      <c r="G12" s="184" t="s">
        <v>1096</v>
      </c>
      <c r="H12" s="184"/>
      <c r="I12" s="184"/>
      <c r="J12" s="184"/>
      <c r="K12" s="184"/>
      <c r="L12" s="184"/>
      <c r="M12" s="185">
        <v>43738</v>
      </c>
      <c r="N12" s="185">
        <v>43738</v>
      </c>
      <c r="O12" s="186"/>
      <c r="P12" s="187">
        <v>1</v>
      </c>
      <c r="Q12" s="187">
        <v>1</v>
      </c>
      <c r="R12" s="188">
        <v>1</v>
      </c>
      <c r="S12" s="188">
        <v>1</v>
      </c>
      <c r="T12" s="185"/>
      <c r="U12" s="185"/>
      <c r="V12" s="189"/>
      <c r="W12" s="190">
        <v>0</v>
      </c>
      <c r="X12" s="191">
        <v>1</v>
      </c>
      <c r="Y12" s="186" t="s">
        <v>1120</v>
      </c>
      <c r="Z12" s="192"/>
      <c r="AA12" s="97">
        <v>1</v>
      </c>
      <c r="AB12" s="97">
        <v>1</v>
      </c>
      <c r="AC12" s="123"/>
      <c r="AD12" s="4"/>
      <c r="AE12" s="4" t="str">
        <f>"  " &amp; TEXT(AB12,"#0.00%") &amp; " " &amp; "주기별 보고2" &amp; "(김세종,정준모)" &amp; " " &amp; IF(M12="","",TEXT(M12,"M/D-")) &amp; IF(N12="","",TEXT(N12,"M/D")) &amp; " "</f>
        <v xml:space="preserve">  100.00% 주기별 보고2(김세종,정준모) 9/30-9/30 </v>
      </c>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row>
    <row r="13" spans="1:79" outlineLevel="2">
      <c r="A13" s="116"/>
      <c r="B13" s="116"/>
      <c r="C13" s="116">
        <v>3</v>
      </c>
      <c r="D13" s="3" t="s">
        <v>433</v>
      </c>
      <c r="E13" s="184"/>
      <c r="F13" s="184"/>
      <c r="G13" s="184" t="s">
        <v>1095</v>
      </c>
      <c r="H13" s="184"/>
      <c r="I13" s="184"/>
      <c r="J13" s="184"/>
      <c r="K13" s="184"/>
      <c r="L13" s="184"/>
      <c r="M13" s="185">
        <v>43745</v>
      </c>
      <c r="N13" s="185">
        <v>43745</v>
      </c>
      <c r="O13" s="186"/>
      <c r="P13" s="187">
        <v>1</v>
      </c>
      <c r="Q13" s="187">
        <v>1</v>
      </c>
      <c r="R13" s="188">
        <v>1</v>
      </c>
      <c r="S13" s="188">
        <v>1</v>
      </c>
      <c r="T13" s="185"/>
      <c r="U13" s="185"/>
      <c r="V13" s="189"/>
      <c r="W13" s="190">
        <v>0</v>
      </c>
      <c r="X13" s="191">
        <v>1</v>
      </c>
      <c r="Y13" s="186" t="s">
        <v>1120</v>
      </c>
      <c r="Z13" s="192"/>
      <c r="AA13" s="97">
        <v>1</v>
      </c>
      <c r="AB13" s="97">
        <v>1</v>
      </c>
      <c r="AC13" s="123"/>
      <c r="AD13" s="4"/>
      <c r="AE13" s="4"/>
      <c r="AF13" s="4" t="str">
        <f>"  " &amp; TEXT(AB13,"#0.00%") &amp; " " &amp; "주기별 보고3" &amp; "(김세종,정준모)" &amp; " " &amp; IF(M13="","",TEXT(M13,"M/D-")) &amp; IF(N13="","",TEXT(N13,"M/D")) &amp; " "</f>
        <v xml:space="preserve">  100.00% 주기별 보고3(김세종,정준모) 10/7-10/7 </v>
      </c>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row>
    <row r="14" spans="1:79" outlineLevel="2">
      <c r="A14" s="116"/>
      <c r="B14" s="116"/>
      <c r="C14" s="116">
        <v>3</v>
      </c>
      <c r="D14" s="3" t="s">
        <v>434</v>
      </c>
      <c r="E14" s="184"/>
      <c r="F14" s="184"/>
      <c r="G14" s="184" t="s">
        <v>1121</v>
      </c>
      <c r="H14" s="184"/>
      <c r="I14" s="184"/>
      <c r="J14" s="184"/>
      <c r="K14" s="184"/>
      <c r="L14" s="184"/>
      <c r="M14" s="185">
        <v>43738</v>
      </c>
      <c r="N14" s="185">
        <v>43738</v>
      </c>
      <c r="O14" s="186"/>
      <c r="P14" s="187">
        <v>1</v>
      </c>
      <c r="Q14" s="187">
        <v>1</v>
      </c>
      <c r="R14" s="188">
        <v>1</v>
      </c>
      <c r="S14" s="188">
        <v>1</v>
      </c>
      <c r="T14" s="185"/>
      <c r="U14" s="185"/>
      <c r="V14" s="189"/>
      <c r="W14" s="190">
        <v>0</v>
      </c>
      <c r="X14" s="191">
        <v>1</v>
      </c>
      <c r="Y14" s="186" t="s">
        <v>1122</v>
      </c>
      <c r="Z14" s="192" t="s">
        <v>1149</v>
      </c>
      <c r="AA14" s="97">
        <v>1</v>
      </c>
      <c r="AB14" s="97">
        <v>1</v>
      </c>
      <c r="AC14" s="123"/>
      <c r="AD14" s="4"/>
      <c r="AE14" s="4" t="str">
        <f>"  " &amp; TEXT(AB14,"#0.00%") &amp; " " &amp; "중간발표 1" &amp; "(안희수,김세종)" &amp; " " &amp; IF(M14="","",TEXT(M14,"M/D-")) &amp; IF(N14="","",TEXT(N14,"M/D")) &amp; " "</f>
        <v xml:space="preserve">  100.00% 중간발표 1(안희수,김세종) 9/30-9/30 </v>
      </c>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row>
    <row r="15" spans="1:79" outlineLevel="2">
      <c r="A15" s="116"/>
      <c r="B15" s="116"/>
      <c r="C15" s="116">
        <v>3</v>
      </c>
      <c r="D15" s="3" t="s">
        <v>1125</v>
      </c>
      <c r="E15" s="184"/>
      <c r="F15" s="184"/>
      <c r="G15" s="184" t="s">
        <v>1123</v>
      </c>
      <c r="H15" s="184"/>
      <c r="I15" s="184"/>
      <c r="J15" s="184"/>
      <c r="K15" s="184"/>
      <c r="L15" s="184"/>
      <c r="M15" s="185">
        <v>43752</v>
      </c>
      <c r="N15" s="185">
        <v>43752</v>
      </c>
      <c r="O15" s="186"/>
      <c r="P15" s="187">
        <v>1</v>
      </c>
      <c r="Q15" s="187">
        <v>1</v>
      </c>
      <c r="R15" s="188">
        <v>1</v>
      </c>
      <c r="S15" s="188">
        <v>1</v>
      </c>
      <c r="T15" s="185"/>
      <c r="U15" s="185"/>
      <c r="V15" s="189"/>
      <c r="W15" s="190">
        <v>0</v>
      </c>
      <c r="X15" s="191">
        <v>1</v>
      </c>
      <c r="Y15" s="186" t="s">
        <v>1124</v>
      </c>
      <c r="Z15" s="192"/>
      <c r="AA15" s="97">
        <v>1</v>
      </c>
      <c r="AB15" s="97">
        <v>1</v>
      </c>
      <c r="AC15" s="123"/>
      <c r="AD15" s="4"/>
      <c r="AE15" s="4"/>
      <c r="AF15" s="4"/>
      <c r="AG15" s="4" t="str">
        <f>"  " &amp; TEXT(AB15,"#0.00%") &amp; " " &amp; "중간발표 2" &amp; "(안희수,이태성)" &amp; " " &amp; IF(M15="","",TEXT(M15,"M/D-")) &amp; IF(N15="","",TEXT(N15,"M/D")) &amp; " "</f>
        <v xml:space="preserve">  100.00% 중간발표 2(안희수,이태성) 10/14-10/14 </v>
      </c>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row>
    <row r="16" spans="1:79" outlineLevel="2">
      <c r="A16" s="116"/>
      <c r="B16" s="116"/>
      <c r="C16" s="116">
        <v>3</v>
      </c>
      <c r="D16" s="3" t="s">
        <v>1126</v>
      </c>
      <c r="E16" s="184"/>
      <c r="F16" s="184"/>
      <c r="G16" s="184" t="s">
        <v>1119</v>
      </c>
      <c r="H16" s="184"/>
      <c r="I16" s="184"/>
      <c r="J16" s="184"/>
      <c r="K16" s="184"/>
      <c r="L16" s="184"/>
      <c r="M16" s="185">
        <v>43763</v>
      </c>
      <c r="N16" s="185">
        <v>43763</v>
      </c>
      <c r="O16" s="186"/>
      <c r="P16" s="187">
        <v>1</v>
      </c>
      <c r="Q16" s="187">
        <v>1</v>
      </c>
      <c r="R16" s="188">
        <v>1</v>
      </c>
      <c r="S16" s="188">
        <v>1</v>
      </c>
      <c r="T16" s="185"/>
      <c r="U16" s="185"/>
      <c r="V16" s="189"/>
      <c r="W16" s="190">
        <v>0</v>
      </c>
      <c r="X16" s="191">
        <v>1</v>
      </c>
      <c r="Y16" s="186" t="s">
        <v>1122</v>
      </c>
      <c r="Z16" s="192" t="s">
        <v>1150</v>
      </c>
      <c r="AA16" s="97">
        <v>1</v>
      </c>
      <c r="AB16" s="97">
        <v>1</v>
      </c>
      <c r="AC16" s="123"/>
      <c r="AD16" s="4"/>
      <c r="AE16" s="4"/>
      <c r="AF16" s="4"/>
      <c r="AG16" s="4"/>
      <c r="AH16" s="4" t="str">
        <f>"      " &amp; TEXT(AB16,"#0.00%") &amp; " " &amp; "최종발표" &amp; "(안희수,김세종)" &amp; " " &amp; IF(M16="","",TEXT(M16,"M/D-")) &amp; IF(N16="","",TEXT(N16,"M/D")) &amp; " "</f>
        <v xml:space="preserve">      100.00% 최종발표(안희수,김세종) 10/25-10/25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row>
    <row r="17" spans="1:70" outlineLevel="1">
      <c r="A17" s="116"/>
      <c r="B17" s="116" t="s">
        <v>1044</v>
      </c>
      <c r="C17" s="116">
        <v>2</v>
      </c>
      <c r="D17" s="3" t="s">
        <v>1049</v>
      </c>
      <c r="E17" s="184"/>
      <c r="F17" s="184" t="s">
        <v>987</v>
      </c>
      <c r="G17" s="184"/>
      <c r="H17" s="184"/>
      <c r="I17" s="184"/>
      <c r="J17" s="184"/>
      <c r="K17" s="184"/>
      <c r="L17" s="184"/>
      <c r="M17" s="185">
        <v>43756</v>
      </c>
      <c r="N17" s="185">
        <v>43762</v>
      </c>
      <c r="O17" s="186"/>
      <c r="P17" s="187">
        <v>7</v>
      </c>
      <c r="Q17" s="187">
        <v>7</v>
      </c>
      <c r="R17" s="188">
        <v>5</v>
      </c>
      <c r="S17" s="188">
        <v>5</v>
      </c>
      <c r="T17" s="185"/>
      <c r="U17" s="185"/>
      <c r="V17" s="189">
        <v>0</v>
      </c>
      <c r="W17" s="190">
        <v>0</v>
      </c>
      <c r="X17" s="191"/>
      <c r="Y17" s="186"/>
      <c r="Z17" s="192"/>
      <c r="AA17" s="97">
        <v>1</v>
      </c>
      <c r="AB17" s="97">
        <v>1</v>
      </c>
      <c r="AC17" s="123"/>
      <c r="AD17" s="4"/>
      <c r="AE17" s="4"/>
      <c r="AF17" s="4"/>
      <c r="AG17" s="4"/>
      <c r="AH17" s="4" t="str">
        <f>"     " &amp; TEXT(AB17,"#0.00%") &amp; " " &amp; "프로젝트 종료" &amp; " " &amp; IF(M17="","",TEXT(M17,"M/D-")) &amp; IF(N17="","",TEXT(N17,"M/D")) &amp; " "</f>
        <v xml:space="preserve">     100.00% 프로젝트 종료 10/18-10/24 </v>
      </c>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row>
    <row r="18" spans="1:70" outlineLevel="2">
      <c r="A18" s="116"/>
      <c r="B18" s="116"/>
      <c r="C18" s="116">
        <v>3</v>
      </c>
      <c r="D18" s="3" t="s">
        <v>435</v>
      </c>
      <c r="E18" s="184"/>
      <c r="F18" s="184"/>
      <c r="G18" s="184" t="s">
        <v>438</v>
      </c>
      <c r="H18" s="184"/>
      <c r="I18" s="184"/>
      <c r="J18" s="184"/>
      <c r="K18" s="184"/>
      <c r="L18" s="184"/>
      <c r="M18" s="185">
        <v>43756</v>
      </c>
      <c r="N18" s="185">
        <v>43756</v>
      </c>
      <c r="O18" s="186"/>
      <c r="P18" s="187">
        <v>1</v>
      </c>
      <c r="Q18" s="187">
        <v>1</v>
      </c>
      <c r="R18" s="188">
        <v>1</v>
      </c>
      <c r="S18" s="188">
        <v>1</v>
      </c>
      <c r="T18" s="185"/>
      <c r="U18" s="185"/>
      <c r="V18" s="189"/>
      <c r="W18" s="190">
        <v>0</v>
      </c>
      <c r="X18" s="191">
        <v>1</v>
      </c>
      <c r="Y18" s="186" t="s">
        <v>1120</v>
      </c>
      <c r="Z18" s="192"/>
      <c r="AA18" s="97">
        <v>1</v>
      </c>
      <c r="AB18" s="97">
        <v>1</v>
      </c>
      <c r="AC18" s="123"/>
      <c r="AD18" s="4"/>
      <c r="AE18" s="4"/>
      <c r="AF18" s="4"/>
      <c r="AG18" s="4" t="str">
        <f>"      " &amp; TEXT(AB18,"#0.00%") &amp; " " &amp; "종료계획수립" &amp; "(김세종,정준모)" &amp; " " &amp; IF(M18="","",TEXT(M18,"M/D-")) &amp; IF(N18="","",TEXT(N18,"M/D")) &amp; " "</f>
        <v xml:space="preserve">      100.00% 종료계획수립(김세종,정준모) 10/18-10/18 </v>
      </c>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row>
    <row r="19" spans="1:70" outlineLevel="2">
      <c r="A19" s="116"/>
      <c r="B19" s="116"/>
      <c r="C19" s="116">
        <v>3</v>
      </c>
      <c r="D19" s="3" t="s">
        <v>436</v>
      </c>
      <c r="E19" s="184"/>
      <c r="F19" s="184"/>
      <c r="G19" s="184" t="s">
        <v>1093</v>
      </c>
      <c r="H19" s="184"/>
      <c r="I19" s="184"/>
      <c r="J19" s="184"/>
      <c r="K19" s="184"/>
      <c r="L19" s="184"/>
      <c r="M19" s="185">
        <v>43762</v>
      </c>
      <c r="N19" s="185">
        <v>43762</v>
      </c>
      <c r="O19" s="186"/>
      <c r="P19" s="187">
        <v>1</v>
      </c>
      <c r="Q19" s="187">
        <v>1</v>
      </c>
      <c r="R19" s="188">
        <v>1</v>
      </c>
      <c r="S19" s="188">
        <v>1</v>
      </c>
      <c r="T19" s="185"/>
      <c r="U19" s="185"/>
      <c r="V19" s="189"/>
      <c r="W19" s="190">
        <v>0</v>
      </c>
      <c r="X19" s="191">
        <v>1</v>
      </c>
      <c r="Y19" s="186" t="s">
        <v>1097</v>
      </c>
      <c r="Z19" s="192"/>
      <c r="AA19" s="97">
        <v>1</v>
      </c>
      <c r="AB19" s="97">
        <v>1</v>
      </c>
      <c r="AC19" s="123"/>
      <c r="AD19" s="4"/>
      <c r="AE19" s="4"/>
      <c r="AF19" s="4"/>
      <c r="AG19" s="4"/>
      <c r="AH19" s="4" t="str">
        <f>"     " &amp; TEXT(AB19,"#0.00%") &amp; " " &amp; "코드리뷰" &amp; "(김세종,정준모,조규민,이태성,배재준,안희수)" &amp; " " &amp; IF(M19="","",TEXT(M19,"M/D-")) &amp; IF(N19="","",TEXT(N19,"M/D")) &amp; " "</f>
        <v xml:space="preserve">     100.00% 코드리뷰(김세종,정준모,조규민,이태성,배재준,안희수) 10/24-10/24 </v>
      </c>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row>
    <row r="20" spans="1:70" outlineLevel="2">
      <c r="A20" s="116"/>
      <c r="B20" s="116"/>
      <c r="C20" s="116">
        <v>3</v>
      </c>
      <c r="D20" s="3" t="s">
        <v>437</v>
      </c>
      <c r="E20" s="184"/>
      <c r="F20" s="184"/>
      <c r="G20" s="184" t="s">
        <v>440</v>
      </c>
      <c r="H20" s="184"/>
      <c r="I20" s="184"/>
      <c r="J20" s="184"/>
      <c r="K20" s="184"/>
      <c r="L20" s="184"/>
      <c r="M20" s="185">
        <v>43759</v>
      </c>
      <c r="N20" s="185">
        <v>43762</v>
      </c>
      <c r="O20" s="186"/>
      <c r="P20" s="187">
        <v>4</v>
      </c>
      <c r="Q20" s="187">
        <v>4</v>
      </c>
      <c r="R20" s="188">
        <v>4</v>
      </c>
      <c r="S20" s="188">
        <v>4</v>
      </c>
      <c r="T20" s="185"/>
      <c r="U20" s="185"/>
      <c r="V20" s="189"/>
      <c r="W20" s="190">
        <v>0</v>
      </c>
      <c r="X20" s="191">
        <v>1</v>
      </c>
      <c r="Y20" s="186" t="s">
        <v>1120</v>
      </c>
      <c r="Z20" s="192"/>
      <c r="AA20" s="97">
        <v>1</v>
      </c>
      <c r="AB20" s="97">
        <v>1</v>
      </c>
      <c r="AC20" s="123"/>
      <c r="AD20" s="4"/>
      <c r="AE20" s="4"/>
      <c r="AF20" s="4"/>
      <c r="AG20" s="4"/>
      <c r="AH20" s="4" t="str">
        <f>"     " &amp; TEXT(AB20,"#0.00%") &amp; " " &amp; "검수 및 종료" &amp; "(김세종,정준모)" &amp; " " &amp; IF(M20="","",TEXT(M20,"M/D-")) &amp; IF(N20="","",TEXT(N20,"M/D")) &amp; " "</f>
        <v xml:space="preserve">     100.00% 검수 및 종료(김세종,정준모) 10/21-10/24 </v>
      </c>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row>
    <row r="21" spans="1:70" outlineLevel="2">
      <c r="A21" s="116"/>
      <c r="B21" s="116"/>
      <c r="C21" s="116">
        <v>3</v>
      </c>
      <c r="D21" s="3" t="s">
        <v>445</v>
      </c>
      <c r="E21" s="184"/>
      <c r="F21" s="184"/>
      <c r="G21" s="184" t="s">
        <v>439</v>
      </c>
      <c r="H21" s="184"/>
      <c r="I21" s="184"/>
      <c r="J21" s="184"/>
      <c r="K21" s="184"/>
      <c r="L21" s="184"/>
      <c r="M21" s="185">
        <v>43762</v>
      </c>
      <c r="N21" s="185">
        <v>43762</v>
      </c>
      <c r="O21" s="186"/>
      <c r="P21" s="187">
        <v>1</v>
      </c>
      <c r="Q21" s="187">
        <v>1</v>
      </c>
      <c r="R21" s="188">
        <v>1</v>
      </c>
      <c r="S21" s="188">
        <v>1</v>
      </c>
      <c r="T21" s="185"/>
      <c r="U21" s="185"/>
      <c r="V21" s="189"/>
      <c r="W21" s="190">
        <v>0</v>
      </c>
      <c r="X21" s="191">
        <v>1</v>
      </c>
      <c r="Y21" s="186" t="s">
        <v>1108</v>
      </c>
      <c r="Z21" s="192"/>
      <c r="AA21" s="97">
        <v>1</v>
      </c>
      <c r="AB21" s="97">
        <v>1</v>
      </c>
      <c r="AC21" s="123"/>
      <c r="AD21" s="4"/>
      <c r="AE21" s="4"/>
      <c r="AF21" s="4"/>
      <c r="AG21" s="4"/>
      <c r="AH21" s="4" t="str">
        <f>"     " &amp; TEXT(AB21,"#0.00%") &amp; " " &amp; "종료보고" &amp; "(김세종)" &amp; " " &amp; IF(M21="","",TEXT(M21,"M/D-")) &amp; IF(N21="","",TEXT(N21,"M/D")) &amp; " "</f>
        <v xml:space="preserve">     100.00% 종료보고(김세종) 10/24-10/24 </v>
      </c>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row>
    <row r="22" spans="1:70">
      <c r="A22" s="116"/>
      <c r="B22" s="116" t="s">
        <v>1044</v>
      </c>
      <c r="C22" s="116">
        <v>1</v>
      </c>
      <c r="D22" s="3" t="s">
        <v>1050</v>
      </c>
      <c r="E22" s="184" t="s">
        <v>993</v>
      </c>
      <c r="F22" s="184"/>
      <c r="G22" s="184"/>
      <c r="H22" s="184"/>
      <c r="I22" s="184"/>
      <c r="J22" s="184"/>
      <c r="K22" s="184"/>
      <c r="L22" s="184"/>
      <c r="M22" s="185">
        <v>43726</v>
      </c>
      <c r="N22" s="185">
        <v>43763</v>
      </c>
      <c r="O22" s="186"/>
      <c r="P22" s="187">
        <v>157</v>
      </c>
      <c r="Q22" s="187">
        <v>157</v>
      </c>
      <c r="R22" s="188">
        <v>26</v>
      </c>
      <c r="S22" s="188">
        <v>26</v>
      </c>
      <c r="T22" s="185"/>
      <c r="U22" s="185"/>
      <c r="V22" s="189">
        <v>0</v>
      </c>
      <c r="W22" s="190">
        <v>0</v>
      </c>
      <c r="X22" s="191"/>
      <c r="Y22" s="186"/>
      <c r="Z22" s="192"/>
      <c r="AA22" s="97">
        <v>1</v>
      </c>
      <c r="AB22" s="97">
        <v>0.5</v>
      </c>
      <c r="AC22" s="123"/>
      <c r="AD22" s="4"/>
      <c r="AE22" s="4"/>
      <c r="AF22" s="4" t="str">
        <f>" " &amp; TEXT(AB22,"#0.00%") &amp; " " &amp; "시스템 개발" &amp; " " &amp; IF(M22="","",TEXT(M22,"M/D-")) &amp; IF(N22="","",TEXT(N22,"M/D")) &amp; " "</f>
        <v xml:space="preserve"> 50.00% 시스템 개발 9/18-10/25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row>
    <row r="23" spans="1:70" outlineLevel="1">
      <c r="A23" s="116"/>
      <c r="B23" s="116" t="s">
        <v>1044</v>
      </c>
      <c r="C23" s="116">
        <v>2</v>
      </c>
      <c r="D23" s="3" t="s">
        <v>1051</v>
      </c>
      <c r="E23" s="184"/>
      <c r="F23" s="184" t="s">
        <v>994</v>
      </c>
      <c r="G23" s="184"/>
      <c r="H23" s="184"/>
      <c r="I23" s="184"/>
      <c r="J23" s="184"/>
      <c r="K23" s="184"/>
      <c r="L23" s="184"/>
      <c r="M23" s="185">
        <v>43726</v>
      </c>
      <c r="N23" s="185">
        <v>43727</v>
      </c>
      <c r="O23" s="186"/>
      <c r="P23" s="187">
        <v>3</v>
      </c>
      <c r="Q23" s="187">
        <v>3</v>
      </c>
      <c r="R23" s="188">
        <v>2</v>
      </c>
      <c r="S23" s="188">
        <v>2</v>
      </c>
      <c r="T23" s="185"/>
      <c r="U23" s="185"/>
      <c r="V23" s="189">
        <v>0</v>
      </c>
      <c r="W23" s="190">
        <v>0</v>
      </c>
      <c r="X23" s="191"/>
      <c r="Y23" s="186"/>
      <c r="Z23" s="192"/>
      <c r="AA23" s="97">
        <v>1</v>
      </c>
      <c r="AB23" s="97">
        <v>0.5</v>
      </c>
      <c r="AC23" s="123" t="str">
        <f>"    " &amp; TEXT(AB23,"#0.00%") &amp; " " &amp; "분석" &amp; " " &amp; IF(M23="","",TEXT(M23,"M/D-")) &amp; IF(N23="","",TEXT(N23,"M/D")) &amp; " "</f>
        <v xml:space="preserve">    50.00% 분석 9/18-9/19 </v>
      </c>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row>
    <row r="24" spans="1:70" outlineLevel="2">
      <c r="A24" s="116"/>
      <c r="B24" s="116"/>
      <c r="C24" s="116">
        <v>3</v>
      </c>
      <c r="D24" s="3" t="s">
        <v>988</v>
      </c>
      <c r="E24" s="184"/>
      <c r="F24" s="184"/>
      <c r="G24" s="184" t="s">
        <v>441</v>
      </c>
      <c r="H24" s="184"/>
      <c r="I24" s="184"/>
      <c r="J24" s="184"/>
      <c r="K24" s="184"/>
      <c r="L24" s="184"/>
      <c r="M24" s="185">
        <v>43726</v>
      </c>
      <c r="N24" s="185">
        <v>43726</v>
      </c>
      <c r="O24" s="186"/>
      <c r="P24" s="187">
        <v>1</v>
      </c>
      <c r="Q24" s="187">
        <v>1</v>
      </c>
      <c r="R24" s="188">
        <v>1</v>
      </c>
      <c r="S24" s="188">
        <v>1</v>
      </c>
      <c r="T24" s="185">
        <v>43309</v>
      </c>
      <c r="U24" s="185">
        <v>43327</v>
      </c>
      <c r="V24" s="189">
        <v>12</v>
      </c>
      <c r="W24" s="190">
        <v>12</v>
      </c>
      <c r="X24" s="191">
        <v>1</v>
      </c>
      <c r="Y24" s="186" t="s">
        <v>1097</v>
      </c>
      <c r="Z24" s="192"/>
      <c r="AA24" s="97">
        <v>1</v>
      </c>
      <c r="AB24" s="97">
        <v>0.5</v>
      </c>
      <c r="AC24" s="123" t="str">
        <f>"    " &amp; TEXT(AB24,"#0.00%") &amp; " " &amp; "요구사항정의" &amp; "(김세종,정준모,조규민,이태성,배재준,안희수)" &amp; " " &amp; IF(M24="","",TEXT(M24,"M/D-")) &amp; IF(N24="","",TEXT(N24,"M/D")) &amp; " "</f>
        <v xml:space="preserve">    50.00% 요구사항정의(김세종,정준모,조규민,이태성,배재준,안희수) 9/18-9/18 </v>
      </c>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row>
    <row r="25" spans="1:70" outlineLevel="2">
      <c r="A25" s="116"/>
      <c r="B25" s="116" t="s">
        <v>1044</v>
      </c>
      <c r="C25" s="116">
        <v>3</v>
      </c>
      <c r="D25" s="3" t="s">
        <v>1052</v>
      </c>
      <c r="E25" s="184"/>
      <c r="F25" s="184"/>
      <c r="G25" s="184" t="s">
        <v>995</v>
      </c>
      <c r="H25" s="184"/>
      <c r="I25" s="184"/>
      <c r="J25" s="184"/>
      <c r="K25" s="184"/>
      <c r="L25" s="184"/>
      <c r="M25" s="185">
        <v>43727</v>
      </c>
      <c r="N25" s="185">
        <v>43727</v>
      </c>
      <c r="O25" s="186"/>
      <c r="P25" s="187">
        <v>2</v>
      </c>
      <c r="Q25" s="187">
        <v>2</v>
      </c>
      <c r="R25" s="188">
        <v>1</v>
      </c>
      <c r="S25" s="188">
        <v>1</v>
      </c>
      <c r="T25" s="185"/>
      <c r="U25" s="185"/>
      <c r="V25" s="189">
        <v>0</v>
      </c>
      <c r="W25" s="190">
        <v>0</v>
      </c>
      <c r="X25" s="191"/>
      <c r="Y25" s="186"/>
      <c r="Z25" s="192"/>
      <c r="AA25" s="97">
        <v>1</v>
      </c>
      <c r="AB25" s="97">
        <v>0.5</v>
      </c>
      <c r="AC25" s="123" t="str">
        <f>"    " &amp; TEXT(AB25,"#0.00%") &amp; " " &amp; "논리모델구축" &amp; " " &amp; IF(M25="","",TEXT(M25,"M/D-")) &amp; IF(N25="","",TEXT(N25,"M/D")) &amp; " "</f>
        <v xml:space="preserve">    50.00% 논리모델구축 9/19-9/19 </v>
      </c>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row>
    <row r="26" spans="1:70" outlineLevel="3">
      <c r="A26" s="116"/>
      <c r="B26" s="116"/>
      <c r="C26" s="116">
        <v>4</v>
      </c>
      <c r="D26" s="3" t="s">
        <v>989</v>
      </c>
      <c r="E26" s="184"/>
      <c r="F26" s="184"/>
      <c r="G26" s="184"/>
      <c r="H26" s="184" t="s">
        <v>442</v>
      </c>
      <c r="I26" s="184"/>
      <c r="J26" s="184"/>
      <c r="K26" s="184"/>
      <c r="L26" s="184"/>
      <c r="M26" s="185">
        <v>43727</v>
      </c>
      <c r="N26" s="185">
        <v>43727</v>
      </c>
      <c r="O26" s="186"/>
      <c r="P26" s="187">
        <v>1</v>
      </c>
      <c r="Q26" s="187">
        <v>1</v>
      </c>
      <c r="R26" s="188">
        <v>1</v>
      </c>
      <c r="S26" s="188">
        <v>1</v>
      </c>
      <c r="T26" s="185">
        <v>43315</v>
      </c>
      <c r="U26" s="185">
        <v>43326</v>
      </c>
      <c r="V26" s="189">
        <v>8</v>
      </c>
      <c r="W26" s="190">
        <v>8</v>
      </c>
      <c r="X26" s="191">
        <v>1</v>
      </c>
      <c r="Y26" s="186" t="s">
        <v>1097</v>
      </c>
      <c r="Z26" s="192"/>
      <c r="AA26" s="97">
        <v>1</v>
      </c>
      <c r="AB26" s="97">
        <v>0.5</v>
      </c>
      <c r="AC26" s="123" t="str">
        <f>"    " &amp; TEXT(AB26,"#0.00%") &amp; " " &amp; "프로세스모델링" &amp; "(김세종,정준모,조규민,이태성,배재준,안희수)" &amp; " " &amp; IF(M26="","",TEXT(M26,"M/D-")) &amp; IF(N26="","",TEXT(N26,"M/D")) &amp; " "</f>
        <v xml:space="preserve">    50.00% 프로세스모델링(김세종,정준모,조규민,이태성,배재준,안희수) 9/19-9/19 </v>
      </c>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row>
    <row r="27" spans="1:70" outlineLevel="3">
      <c r="A27" s="116"/>
      <c r="B27" s="116"/>
      <c r="C27" s="116">
        <v>4</v>
      </c>
      <c r="D27" s="3" t="s">
        <v>990</v>
      </c>
      <c r="E27" s="184"/>
      <c r="F27" s="184"/>
      <c r="G27" s="184"/>
      <c r="H27" s="184" t="s">
        <v>443</v>
      </c>
      <c r="I27" s="184"/>
      <c r="J27" s="184"/>
      <c r="K27" s="184"/>
      <c r="L27" s="184"/>
      <c r="M27" s="185">
        <v>43727</v>
      </c>
      <c r="N27" s="185">
        <v>43727</v>
      </c>
      <c r="O27" s="186"/>
      <c r="P27" s="187">
        <v>1</v>
      </c>
      <c r="Q27" s="187">
        <v>1</v>
      </c>
      <c r="R27" s="188">
        <v>1</v>
      </c>
      <c r="S27" s="188">
        <v>1</v>
      </c>
      <c r="T27" s="185">
        <v>43315</v>
      </c>
      <c r="U27" s="185">
        <v>43326</v>
      </c>
      <c r="V27" s="189">
        <v>8</v>
      </c>
      <c r="W27" s="190">
        <v>8</v>
      </c>
      <c r="X27" s="191">
        <v>1</v>
      </c>
      <c r="Y27" s="186" t="s">
        <v>1097</v>
      </c>
      <c r="Z27" s="192"/>
      <c r="AA27" s="97">
        <v>1</v>
      </c>
      <c r="AB27" s="97">
        <v>0.5</v>
      </c>
      <c r="AC27" s="123" t="str">
        <f>"    " &amp; TEXT(AB27,"#0.00%") &amp; " " &amp; "데이터모델링" &amp; "(김세종,정준모,조규민,이태성,배재준,안희수)" &amp; " " &amp; IF(M27="","",TEXT(M27,"M/D-")) &amp; IF(N27="","",TEXT(N27,"M/D")) &amp; " "</f>
        <v xml:space="preserve">    50.00% 데이터모델링(김세종,정준모,조규민,이태성,배재준,안희수) 9/19-9/19 </v>
      </c>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row>
    <row r="28" spans="1:70" outlineLevel="1">
      <c r="A28" s="116"/>
      <c r="B28" s="116" t="s">
        <v>1044</v>
      </c>
      <c r="C28" s="116">
        <v>2</v>
      </c>
      <c r="D28" s="3" t="s">
        <v>1053</v>
      </c>
      <c r="E28" s="184"/>
      <c r="F28" s="184" t="s">
        <v>996</v>
      </c>
      <c r="G28" s="184"/>
      <c r="H28" s="184"/>
      <c r="I28" s="184"/>
      <c r="J28" s="184"/>
      <c r="K28" s="184"/>
      <c r="L28" s="184"/>
      <c r="M28" s="185">
        <v>43726</v>
      </c>
      <c r="N28" s="185">
        <v>43734</v>
      </c>
      <c r="O28" s="186"/>
      <c r="P28" s="187">
        <v>19</v>
      </c>
      <c r="Q28" s="187">
        <v>19</v>
      </c>
      <c r="R28" s="188">
        <v>7</v>
      </c>
      <c r="S28" s="188">
        <v>7</v>
      </c>
      <c r="T28" s="185"/>
      <c r="U28" s="185"/>
      <c r="V28" s="189">
        <v>0</v>
      </c>
      <c r="W28" s="190">
        <v>0</v>
      </c>
      <c r="X28" s="191"/>
      <c r="Y28" s="186"/>
      <c r="Z28" s="192"/>
      <c r="AA28" s="97">
        <v>1</v>
      </c>
      <c r="AB28" s="97">
        <v>0.5</v>
      </c>
      <c r="AC28" s="123"/>
      <c r="AD28" s="4" t="str">
        <f>" " &amp; TEXT(AB28,"#0.00%") &amp; " " &amp; "설계" &amp; " " &amp; IF(M28="","",TEXT(M28,"M/D-")) &amp; IF(N28="","",TEXT(N28,"M/D")) &amp; " "</f>
        <v xml:space="preserve"> 50.00% 설계 9/18-9/26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row>
    <row r="29" spans="1:70" outlineLevel="2">
      <c r="A29" s="116"/>
      <c r="B29" s="116"/>
      <c r="C29" s="116">
        <v>3</v>
      </c>
      <c r="D29" s="3" t="s">
        <v>991</v>
      </c>
      <c r="E29" s="184"/>
      <c r="F29" s="184"/>
      <c r="G29" s="184" t="s">
        <v>997</v>
      </c>
      <c r="H29" s="184"/>
      <c r="I29" s="184"/>
      <c r="J29" s="184"/>
      <c r="K29" s="184"/>
      <c r="L29" s="184"/>
      <c r="M29" s="185">
        <v>43726</v>
      </c>
      <c r="N29" s="185">
        <v>43726</v>
      </c>
      <c r="O29" s="186"/>
      <c r="P29" s="187">
        <v>1</v>
      </c>
      <c r="Q29" s="187">
        <v>1</v>
      </c>
      <c r="R29" s="188">
        <v>1</v>
      </c>
      <c r="S29" s="188">
        <v>1</v>
      </c>
      <c r="T29" s="185">
        <v>43329</v>
      </c>
      <c r="U29" s="185"/>
      <c r="V29" s="189">
        <v>-30942</v>
      </c>
      <c r="W29" s="190">
        <v>0</v>
      </c>
      <c r="X29" s="191">
        <v>1</v>
      </c>
      <c r="Y29" s="186" t="s">
        <v>1097</v>
      </c>
      <c r="Z29" s="192"/>
      <c r="AA29" s="97">
        <v>1</v>
      </c>
      <c r="AB29" s="97">
        <v>0.5</v>
      </c>
      <c r="AC29" s="123" t="str">
        <f>"    " &amp; TEXT(AB29,"#0.00%") &amp; " " &amp; "UI 설계" &amp; "(김세종,정준모,조규민,이태성,배재준,안희수)" &amp; " " &amp; IF(M29="","",TEXT(M29,"M/D-")) &amp; IF(N29="","",TEXT(N29,"M/D")) &amp; " "</f>
        <v xml:space="preserve">    50.00% UI 설계(김세종,정준모,조규민,이태성,배재준,안희수) 9/18-9/18 </v>
      </c>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row>
    <row r="30" spans="1:70" outlineLevel="2">
      <c r="A30" s="116"/>
      <c r="B30" s="116" t="s">
        <v>1044</v>
      </c>
      <c r="C30" s="116">
        <v>3</v>
      </c>
      <c r="D30" s="3" t="s">
        <v>1054</v>
      </c>
      <c r="E30" s="184"/>
      <c r="F30" s="184"/>
      <c r="G30" s="184" t="s">
        <v>998</v>
      </c>
      <c r="H30" s="184"/>
      <c r="I30" s="184"/>
      <c r="J30" s="184"/>
      <c r="K30" s="184"/>
      <c r="L30" s="184"/>
      <c r="M30" s="185">
        <v>43727</v>
      </c>
      <c r="N30" s="185">
        <v>43734</v>
      </c>
      <c r="O30" s="186"/>
      <c r="P30" s="187">
        <v>18</v>
      </c>
      <c r="Q30" s="187">
        <v>18</v>
      </c>
      <c r="R30" s="188">
        <v>6</v>
      </c>
      <c r="S30" s="188">
        <v>6</v>
      </c>
      <c r="T30" s="185"/>
      <c r="U30" s="185"/>
      <c r="V30" s="189">
        <v>0</v>
      </c>
      <c r="W30" s="190">
        <v>0</v>
      </c>
      <c r="X30" s="191"/>
      <c r="Y30" s="186"/>
      <c r="Z30" s="192"/>
      <c r="AA30" s="97">
        <v>1</v>
      </c>
      <c r="AB30" s="97">
        <v>0.5</v>
      </c>
      <c r="AC30" s="123"/>
      <c r="AD30" s="4" t="str">
        <f>" " &amp; TEXT(AB30,"#0.00%") &amp; " " &amp; "시스템 설계" &amp; " " &amp; IF(M30="","",TEXT(M30,"M/D-")) &amp; IF(N30="","",TEXT(N30,"M/D")) &amp; " "</f>
        <v xml:space="preserve"> 50.00% 시스템 설계 9/19-9/26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row>
    <row r="31" spans="1:70" outlineLevel="3">
      <c r="A31" s="116"/>
      <c r="B31" s="116"/>
      <c r="C31" s="116">
        <v>4</v>
      </c>
      <c r="D31" s="3" t="s">
        <v>999</v>
      </c>
      <c r="E31" s="184"/>
      <c r="F31" s="184"/>
      <c r="G31" s="184"/>
      <c r="H31" s="184" t="s">
        <v>1000</v>
      </c>
      <c r="I31" s="184"/>
      <c r="J31" s="184"/>
      <c r="K31" s="184"/>
      <c r="L31" s="184"/>
      <c r="M31" s="185">
        <v>43727</v>
      </c>
      <c r="N31" s="185">
        <v>43734</v>
      </c>
      <c r="O31" s="186"/>
      <c r="P31" s="187">
        <v>6</v>
      </c>
      <c r="Q31" s="187">
        <v>6</v>
      </c>
      <c r="R31" s="188">
        <v>6</v>
      </c>
      <c r="S31" s="188">
        <v>6</v>
      </c>
      <c r="T31" s="185">
        <v>43336</v>
      </c>
      <c r="U31" s="185"/>
      <c r="V31" s="189">
        <v>-30947</v>
      </c>
      <c r="W31" s="190">
        <v>0</v>
      </c>
      <c r="X31" s="191">
        <v>1</v>
      </c>
      <c r="Y31" s="186" t="s">
        <v>1097</v>
      </c>
      <c r="Z31" s="192"/>
      <c r="AA31" s="97">
        <v>1</v>
      </c>
      <c r="AB31" s="97">
        <v>0.5</v>
      </c>
      <c r="AC31" s="123"/>
      <c r="AD31" s="4" t="str">
        <f>" " &amp; TEXT(AB31,"#0.00%") &amp; " " &amp; "Architecture설계" &amp; "(김세종,정준모,조규민,이태성,배재준,안희수)" &amp; " " &amp; IF(M31="","",TEXT(M31,"M/D-")) &amp; IF(N31="","",TEXT(N31,"M/D")) &amp; " "</f>
        <v xml:space="preserve"> 50.00% Architecture설계(김세종,정준모,조규민,이태성,배재준,안희수) 9/19-9/26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row>
    <row r="32" spans="1:70" outlineLevel="3">
      <c r="A32" s="116"/>
      <c r="B32" s="116"/>
      <c r="C32" s="116">
        <v>4</v>
      </c>
      <c r="D32" s="3" t="s">
        <v>1001</v>
      </c>
      <c r="E32" s="184"/>
      <c r="F32" s="184"/>
      <c r="G32" s="184"/>
      <c r="H32" s="184" t="s">
        <v>1002</v>
      </c>
      <c r="I32" s="184"/>
      <c r="J32" s="184"/>
      <c r="K32" s="184"/>
      <c r="L32" s="184"/>
      <c r="M32" s="185">
        <v>43727</v>
      </c>
      <c r="N32" s="185">
        <v>43734</v>
      </c>
      <c r="O32" s="186"/>
      <c r="P32" s="187">
        <v>6</v>
      </c>
      <c r="Q32" s="187">
        <v>6</v>
      </c>
      <c r="R32" s="188">
        <v>6</v>
      </c>
      <c r="S32" s="188">
        <v>6</v>
      </c>
      <c r="T32" s="185"/>
      <c r="U32" s="185"/>
      <c r="V32" s="189"/>
      <c r="W32" s="190">
        <v>0</v>
      </c>
      <c r="X32" s="191">
        <v>1</v>
      </c>
      <c r="Y32" s="216" t="s">
        <v>1097</v>
      </c>
      <c r="Z32" s="192" t="s">
        <v>1098</v>
      </c>
      <c r="AA32" s="97">
        <v>1</v>
      </c>
      <c r="AB32" s="97">
        <v>0.5</v>
      </c>
      <c r="AC32" s="123"/>
      <c r="AD32" s="4" t="str">
        <f>" " &amp; TEXT(AB32,"#0.00%") &amp; " " &amp; "데이터베이스설계" &amp; "(김세종,정준모,조규민,이태성,배재준,안희수)" &amp; " " &amp; IF(M32="","",TEXT(M32,"M/D-")) &amp; IF(N32="","",TEXT(N32,"M/D")) &amp; " "</f>
        <v xml:space="preserve"> 50.00% 데이터베이스설계(김세종,정준모,조규민,이태성,배재준,안희수) 9/19-9/26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row>
    <row r="33" spans="1:70" outlineLevel="3">
      <c r="A33" s="116"/>
      <c r="B33" s="116"/>
      <c r="C33" s="116">
        <v>4</v>
      </c>
      <c r="D33" s="3" t="s">
        <v>1003</v>
      </c>
      <c r="E33" s="184"/>
      <c r="F33" s="184"/>
      <c r="G33" s="184"/>
      <c r="H33" s="184" t="s">
        <v>1004</v>
      </c>
      <c r="I33" s="184"/>
      <c r="J33" s="184"/>
      <c r="K33" s="184"/>
      <c r="L33" s="184"/>
      <c r="M33" s="185">
        <v>43727</v>
      </c>
      <c r="N33" s="185">
        <v>43734</v>
      </c>
      <c r="O33" s="186"/>
      <c r="P33" s="187">
        <v>6</v>
      </c>
      <c r="Q33" s="187">
        <v>6</v>
      </c>
      <c r="R33" s="188">
        <v>6</v>
      </c>
      <c r="S33" s="188">
        <v>6</v>
      </c>
      <c r="T33" s="185"/>
      <c r="U33" s="185"/>
      <c r="V33" s="189"/>
      <c r="W33" s="190">
        <v>0</v>
      </c>
      <c r="X33" s="191">
        <v>1</v>
      </c>
      <c r="Y33" s="216" t="s">
        <v>1097</v>
      </c>
      <c r="Z33" s="192"/>
      <c r="AA33" s="97">
        <v>1</v>
      </c>
      <c r="AB33" s="97">
        <v>0.5</v>
      </c>
      <c r="AC33" s="123"/>
      <c r="AD33" s="4" t="str">
        <f>" " &amp; TEXT(AB33,"#0.00%") &amp; " " &amp; "프로그램설계" &amp; "(김세종,정준모,조규민,이태성,배재준,안희수)" &amp; " " &amp; IF(M33="","",TEXT(M33,"M/D-")) &amp; IF(N33="","",TEXT(N33,"M/D")) &amp; " "</f>
        <v xml:space="preserve"> 50.00% 프로그램설계(김세종,정준모,조규민,이태성,배재준,안희수) 9/19-9/26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row>
    <row r="34" spans="1:70" outlineLevel="1">
      <c r="A34" s="116"/>
      <c r="B34" s="116" t="s">
        <v>1044</v>
      </c>
      <c r="C34" s="116">
        <v>2</v>
      </c>
      <c r="D34" s="3" t="s">
        <v>1055</v>
      </c>
      <c r="E34" s="184"/>
      <c r="F34" s="184" t="s">
        <v>1005</v>
      </c>
      <c r="G34" s="184"/>
      <c r="H34" s="184"/>
      <c r="I34" s="184"/>
      <c r="J34" s="184"/>
      <c r="K34" s="184"/>
      <c r="L34" s="184"/>
      <c r="M34" s="185">
        <v>43728</v>
      </c>
      <c r="N34" s="185">
        <v>43761</v>
      </c>
      <c r="O34" s="186"/>
      <c r="P34" s="187">
        <v>130</v>
      </c>
      <c r="Q34" s="187">
        <v>130</v>
      </c>
      <c r="R34" s="188">
        <v>22</v>
      </c>
      <c r="S34" s="188">
        <v>22</v>
      </c>
      <c r="T34" s="185"/>
      <c r="U34" s="185"/>
      <c r="V34" s="189">
        <v>0</v>
      </c>
      <c r="W34" s="190">
        <v>0</v>
      </c>
      <c r="X34" s="191"/>
      <c r="Y34" s="186"/>
      <c r="Z34" s="192"/>
      <c r="AA34" s="97">
        <v>1</v>
      </c>
      <c r="AB34" s="97">
        <v>0.5</v>
      </c>
      <c r="AC34" s="123"/>
      <c r="AD34" s="4"/>
      <c r="AE34" s="4"/>
      <c r="AF34" s="4" t="str">
        <f>" " &amp; TEXT(AB34,"#0.00%") &amp; " " &amp; "개발" &amp; " " &amp; IF(M34="","",TEXT(M34,"M/D-")) &amp; IF(N34="","",TEXT(N34,"M/D")) &amp; " "</f>
        <v xml:space="preserve"> 50.00% 개발 9/20-10/23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row>
    <row r="35" spans="1:70" outlineLevel="2">
      <c r="A35" s="116"/>
      <c r="B35" s="116" t="s">
        <v>1044</v>
      </c>
      <c r="C35" s="116">
        <v>3</v>
      </c>
      <c r="D35" s="3" t="s">
        <v>1056</v>
      </c>
      <c r="E35" s="184"/>
      <c r="F35" s="184"/>
      <c r="G35" s="184" t="s">
        <v>1006</v>
      </c>
      <c r="H35" s="184"/>
      <c r="I35" s="184"/>
      <c r="J35" s="184"/>
      <c r="K35" s="184"/>
      <c r="L35" s="184"/>
      <c r="M35" s="185">
        <v>43728</v>
      </c>
      <c r="N35" s="185">
        <v>43760</v>
      </c>
      <c r="O35" s="186"/>
      <c r="P35" s="187">
        <v>126</v>
      </c>
      <c r="Q35" s="187">
        <v>126</v>
      </c>
      <c r="R35" s="188">
        <v>21</v>
      </c>
      <c r="S35" s="188">
        <v>21</v>
      </c>
      <c r="T35" s="185"/>
      <c r="U35" s="185"/>
      <c r="V35" s="189">
        <v>0</v>
      </c>
      <c r="W35" s="190">
        <v>0</v>
      </c>
      <c r="X35" s="191"/>
      <c r="Y35" s="186"/>
      <c r="Z35" s="192"/>
      <c r="AA35" s="97">
        <v>1</v>
      </c>
      <c r="AB35" s="97">
        <v>0.5</v>
      </c>
      <c r="AC35" s="123"/>
      <c r="AD35" s="4"/>
      <c r="AE35" s="4"/>
      <c r="AF35" s="4" t="str">
        <f>" " &amp; TEXT(AB35,"#0.00%") &amp; " " &amp; "프로그램 개발" &amp; " " &amp; IF(M35="","",TEXT(M35,"M/D-")) &amp; IF(N35="","",TEXT(N35,"M/D")) &amp; " "</f>
        <v xml:space="preserve"> 50.00% 프로그램 개발 9/20-10/22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row>
    <row r="36" spans="1:70" outlineLevel="3">
      <c r="A36" s="116"/>
      <c r="B36" s="116" t="s">
        <v>1044</v>
      </c>
      <c r="C36" s="116">
        <v>4</v>
      </c>
      <c r="D36" s="3" t="s">
        <v>1007</v>
      </c>
      <c r="E36" s="184"/>
      <c r="F36" s="184"/>
      <c r="G36" s="184"/>
      <c r="H36" s="184" t="s">
        <v>1008</v>
      </c>
      <c r="I36" s="184"/>
      <c r="J36" s="184"/>
      <c r="K36" s="184"/>
      <c r="L36" s="184"/>
      <c r="M36" s="185">
        <v>43728</v>
      </c>
      <c r="N36" s="185">
        <v>43760</v>
      </c>
      <c r="O36" s="186"/>
      <c r="P36" s="187">
        <v>126</v>
      </c>
      <c r="Q36" s="187">
        <v>126</v>
      </c>
      <c r="R36" s="188">
        <v>21</v>
      </c>
      <c r="S36" s="188">
        <v>21</v>
      </c>
      <c r="T36" s="185"/>
      <c r="U36" s="185"/>
      <c r="V36" s="189">
        <v>0</v>
      </c>
      <c r="W36" s="190">
        <v>0</v>
      </c>
      <c r="X36" s="191"/>
      <c r="Y36" s="186"/>
      <c r="Z36" s="192"/>
      <c r="AA36" s="97">
        <v>1</v>
      </c>
      <c r="AB36" s="97">
        <v>0.5</v>
      </c>
      <c r="AC36" s="123"/>
      <c r="AD36" s="4"/>
      <c r="AE36" s="4"/>
      <c r="AF36" s="4" t="str">
        <f>" " &amp; TEXT(AB36,"#0.00%") &amp; " " &amp; "프로그램코딩 및 단위테스트" &amp; " " &amp; IF(M36="","",TEXT(M36,"M/D-")) &amp; IF(N36="","",TEXT(N36,"M/D")) &amp; " "</f>
        <v xml:space="preserve"> 50.00% 프로그램코딩 및 단위테스트 9/20-10/22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row>
    <row r="37" spans="1:70" outlineLevel="4">
      <c r="A37" s="116"/>
      <c r="B37" s="116" t="s">
        <v>1044</v>
      </c>
      <c r="C37" s="116">
        <v>5</v>
      </c>
      <c r="D37" s="3" t="s">
        <v>1099</v>
      </c>
      <c r="E37" s="184"/>
      <c r="F37" s="184"/>
      <c r="G37" s="184"/>
      <c r="H37" s="184"/>
      <c r="I37" s="184" t="s">
        <v>1113</v>
      </c>
      <c r="J37" s="184"/>
      <c r="K37" s="184"/>
      <c r="L37" s="184"/>
      <c r="M37" s="185">
        <v>43728</v>
      </c>
      <c r="N37" s="185">
        <v>43760</v>
      </c>
      <c r="O37" s="186"/>
      <c r="P37" s="187">
        <v>126</v>
      </c>
      <c r="Q37" s="187">
        <v>126</v>
      </c>
      <c r="R37" s="188">
        <v>21</v>
      </c>
      <c r="S37" s="188">
        <v>21</v>
      </c>
      <c r="T37" s="185"/>
      <c r="U37" s="185"/>
      <c r="V37" s="189">
        <v>0</v>
      </c>
      <c r="W37" s="190">
        <v>0</v>
      </c>
      <c r="X37" s="191"/>
      <c r="Y37" s="186"/>
      <c r="Z37" s="192"/>
      <c r="AA37" s="97">
        <v>1</v>
      </c>
      <c r="AB37" s="97">
        <v>0.5</v>
      </c>
      <c r="AC37" s="123"/>
      <c r="AD37" s="4"/>
      <c r="AE37" s="4"/>
      <c r="AF37" s="4" t="str">
        <f>" " &amp; TEXT(AB37,"#0.00%") &amp; " " &amp; "ERP프로그램" &amp; " " &amp; IF(M37="","",TEXT(M37,"M/D-")) &amp; IF(N37="","",TEXT(N37,"M/D")) &amp; " "</f>
        <v xml:space="preserve"> 50.00% ERP프로그램 9/20-10/22 </v>
      </c>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row>
    <row r="38" spans="1:70" outlineLevel="5">
      <c r="A38" s="116"/>
      <c r="B38" s="116"/>
      <c r="C38" s="116">
        <v>6</v>
      </c>
      <c r="D38" s="3" t="s">
        <v>1100</v>
      </c>
      <c r="E38" s="184"/>
      <c r="F38" s="184"/>
      <c r="G38" s="184"/>
      <c r="H38" s="184"/>
      <c r="I38" s="184"/>
      <c r="J38" s="184" t="s">
        <v>1114</v>
      </c>
      <c r="K38" s="184"/>
      <c r="L38" s="184"/>
      <c r="M38" s="185">
        <v>43728</v>
      </c>
      <c r="N38" s="185">
        <v>43760</v>
      </c>
      <c r="O38" s="186"/>
      <c r="P38" s="187">
        <v>21</v>
      </c>
      <c r="Q38" s="187">
        <v>21</v>
      </c>
      <c r="R38" s="188">
        <v>21</v>
      </c>
      <c r="S38" s="188">
        <v>21</v>
      </c>
      <c r="T38" s="185"/>
      <c r="U38" s="185"/>
      <c r="V38" s="189"/>
      <c r="W38" s="190">
        <v>0</v>
      </c>
      <c r="X38" s="191">
        <v>1</v>
      </c>
      <c r="Y38" s="186" t="s">
        <v>1107</v>
      </c>
      <c r="Z38" s="192"/>
      <c r="AA38" s="97">
        <v>1</v>
      </c>
      <c r="AB38" s="97">
        <v>0.5</v>
      </c>
      <c r="AC38" s="123"/>
      <c r="AD38" s="4"/>
      <c r="AE38" s="4"/>
      <c r="AF38" s="4" t="str">
        <f>" " &amp; TEXT(AB38,"#0.00%") &amp; " " &amp; "발주 기능" &amp; "(정준모)" &amp; " " &amp; IF(M38="","",TEXT(M38,"M/D-")) &amp; IF(N38="","",TEXT(N38,"M/D")) &amp; " "</f>
        <v xml:space="preserve"> 50.00% 발주 기능(정준모) 9/20-10/22 </v>
      </c>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row>
    <row r="39" spans="1:70" outlineLevel="5">
      <c r="A39" s="116"/>
      <c r="B39" s="116"/>
      <c r="C39" s="116">
        <v>6</v>
      </c>
      <c r="D39" s="3" t="s">
        <v>1101</v>
      </c>
      <c r="E39" s="184"/>
      <c r="F39" s="184"/>
      <c r="G39" s="184"/>
      <c r="H39" s="184"/>
      <c r="I39" s="184"/>
      <c r="J39" s="184" t="s">
        <v>1115</v>
      </c>
      <c r="K39" s="184"/>
      <c r="L39" s="184"/>
      <c r="M39" s="185">
        <v>43728</v>
      </c>
      <c r="N39" s="185">
        <v>43760</v>
      </c>
      <c r="O39" s="186"/>
      <c r="P39" s="187">
        <v>21</v>
      </c>
      <c r="Q39" s="187">
        <v>21</v>
      </c>
      <c r="R39" s="188">
        <v>21</v>
      </c>
      <c r="S39" s="188">
        <v>21</v>
      </c>
      <c r="T39" s="185"/>
      <c r="U39" s="185"/>
      <c r="V39" s="189"/>
      <c r="W39" s="190">
        <v>0</v>
      </c>
      <c r="X39" s="191">
        <v>1</v>
      </c>
      <c r="Y39" s="186" t="s">
        <v>1108</v>
      </c>
      <c r="Z39" s="192"/>
      <c r="AA39" s="97">
        <v>1</v>
      </c>
      <c r="AB39" s="97">
        <v>0.5</v>
      </c>
      <c r="AC39" s="123"/>
      <c r="AD39" s="4"/>
      <c r="AE39" s="4"/>
      <c r="AF39" s="4" t="str">
        <f>" " &amp; TEXT(AB39,"#0.00%") &amp; " " &amp; "재고 기능" &amp; "(김세종)" &amp; " " &amp; IF(M39="","",TEXT(M39,"M/D-")) &amp; IF(N39="","",TEXT(N39,"M/D")) &amp; " "</f>
        <v xml:space="preserve"> 50.00% 재고 기능(김세종) 9/20-10/22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row>
    <row r="40" spans="1:70" outlineLevel="5">
      <c r="A40" s="116"/>
      <c r="B40" s="116"/>
      <c r="C40" s="116">
        <v>6</v>
      </c>
      <c r="D40" s="3" t="s">
        <v>1102</v>
      </c>
      <c r="E40" s="184"/>
      <c r="F40" s="184"/>
      <c r="G40" s="184"/>
      <c r="H40" s="184"/>
      <c r="I40" s="184"/>
      <c r="J40" s="184" t="s">
        <v>1103</v>
      </c>
      <c r="K40" s="184"/>
      <c r="L40" s="184"/>
      <c r="M40" s="185">
        <v>43728</v>
      </c>
      <c r="N40" s="185">
        <v>43760</v>
      </c>
      <c r="O40" s="186"/>
      <c r="P40" s="187">
        <v>21</v>
      </c>
      <c r="Q40" s="187">
        <v>21</v>
      </c>
      <c r="R40" s="188">
        <v>21</v>
      </c>
      <c r="S40" s="188">
        <v>21</v>
      </c>
      <c r="T40" s="185"/>
      <c r="U40" s="185"/>
      <c r="V40" s="189"/>
      <c r="W40" s="190">
        <v>0</v>
      </c>
      <c r="X40" s="191">
        <v>1</v>
      </c>
      <c r="Y40" s="186" t="s">
        <v>1109</v>
      </c>
      <c r="Z40" s="192"/>
      <c r="AA40" s="97">
        <v>1</v>
      </c>
      <c r="AB40" s="97">
        <v>0.5</v>
      </c>
      <c r="AC40" s="123"/>
      <c r="AD40" s="4"/>
      <c r="AE40" s="4"/>
      <c r="AF40" s="4" t="str">
        <f>" " &amp; TEXT(AB40,"#0.00%") &amp; " " &amp; "주문 기능" &amp; "(조규민)" &amp; " " &amp; IF(M40="","",TEXT(M40,"M/D-")) &amp; IF(N40="","",TEXT(N40,"M/D")) &amp; " "</f>
        <v xml:space="preserve"> 50.00% 주문 기능(조규민) 9/20-10/22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row>
    <row r="41" spans="1:70" outlineLevel="5">
      <c r="A41" s="116"/>
      <c r="B41" s="116"/>
      <c r="C41" s="116">
        <v>6</v>
      </c>
      <c r="D41" s="3" t="s">
        <v>1116</v>
      </c>
      <c r="E41" s="184"/>
      <c r="F41" s="184"/>
      <c r="G41" s="184"/>
      <c r="H41" s="184"/>
      <c r="I41" s="184"/>
      <c r="J41" s="184" t="s">
        <v>1104</v>
      </c>
      <c r="K41" s="184"/>
      <c r="L41" s="184"/>
      <c r="M41" s="185">
        <v>43728</v>
      </c>
      <c r="N41" s="185">
        <v>43760</v>
      </c>
      <c r="O41" s="186"/>
      <c r="P41" s="187">
        <v>21</v>
      </c>
      <c r="Q41" s="187">
        <v>21</v>
      </c>
      <c r="R41" s="188">
        <v>21</v>
      </c>
      <c r="S41" s="188">
        <v>21</v>
      </c>
      <c r="T41" s="185"/>
      <c r="U41" s="185"/>
      <c r="V41" s="189"/>
      <c r="W41" s="190">
        <v>0</v>
      </c>
      <c r="X41" s="191">
        <v>1</v>
      </c>
      <c r="Y41" s="186" t="s">
        <v>1110</v>
      </c>
      <c r="Z41" s="192"/>
      <c r="AA41" s="97">
        <v>1</v>
      </c>
      <c r="AB41" s="97">
        <v>0.5</v>
      </c>
      <c r="AC41" s="123"/>
      <c r="AD41" s="4"/>
      <c r="AE41" s="4"/>
      <c r="AF41" s="4" t="str">
        <f>" " &amp; TEXT(AB41,"#0.00%") &amp; " " &amp; "인력 기능" &amp; "(배재준)" &amp; " " &amp; IF(M41="","",TEXT(M41,"M/D-")) &amp; IF(N41="","",TEXT(N41,"M/D")) &amp; " "</f>
        <v xml:space="preserve"> 50.00% 인력 기능(배재준) 9/20-10/22 </v>
      </c>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row>
    <row r="42" spans="1:70" outlineLevel="5">
      <c r="A42" s="116"/>
      <c r="B42" s="116"/>
      <c r="C42" s="116">
        <v>6</v>
      </c>
      <c r="D42" s="3" t="s">
        <v>1117</v>
      </c>
      <c r="E42" s="184"/>
      <c r="F42" s="184"/>
      <c r="G42" s="184"/>
      <c r="H42" s="184"/>
      <c r="I42" s="184"/>
      <c r="J42" s="184" t="s">
        <v>1105</v>
      </c>
      <c r="K42" s="184"/>
      <c r="L42" s="184"/>
      <c r="M42" s="185">
        <v>43728</v>
      </c>
      <c r="N42" s="185">
        <v>43760</v>
      </c>
      <c r="O42" s="186"/>
      <c r="P42" s="187">
        <v>21</v>
      </c>
      <c r="Q42" s="187">
        <v>21</v>
      </c>
      <c r="R42" s="188">
        <v>21</v>
      </c>
      <c r="S42" s="188">
        <v>21</v>
      </c>
      <c r="T42" s="185"/>
      <c r="U42" s="185"/>
      <c r="V42" s="189"/>
      <c r="W42" s="190">
        <v>0</v>
      </c>
      <c r="X42" s="191">
        <v>1</v>
      </c>
      <c r="Y42" s="186" t="s">
        <v>1111</v>
      </c>
      <c r="Z42" s="192"/>
      <c r="AA42" s="97">
        <v>1</v>
      </c>
      <c r="AB42" s="97">
        <v>0.5</v>
      </c>
      <c r="AC42" s="123"/>
      <c r="AD42" s="4"/>
      <c r="AE42" s="4"/>
      <c r="AF42" s="4" t="str">
        <f>" " &amp; TEXT(AB42,"#0.00%") &amp; " " &amp; "매출 기능" &amp; "(이태성)" &amp; " " &amp; IF(M42="","",TEXT(M42,"M/D-")) &amp; IF(N42="","",TEXT(N42,"M/D")) &amp; " "</f>
        <v xml:space="preserve"> 50.00% 매출 기능(이태성) 9/20-10/22 </v>
      </c>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row>
    <row r="43" spans="1:70" outlineLevel="5">
      <c r="A43" s="116"/>
      <c r="B43" s="116"/>
      <c r="C43" s="116">
        <v>6</v>
      </c>
      <c r="D43" s="3" t="s">
        <v>1118</v>
      </c>
      <c r="E43" s="184"/>
      <c r="F43" s="184"/>
      <c r="G43" s="184"/>
      <c r="H43" s="184"/>
      <c r="I43" s="184"/>
      <c r="J43" s="184" t="s">
        <v>1106</v>
      </c>
      <c r="K43" s="184"/>
      <c r="L43" s="184"/>
      <c r="M43" s="185">
        <v>43728</v>
      </c>
      <c r="N43" s="185">
        <v>43760</v>
      </c>
      <c r="O43" s="186"/>
      <c r="P43" s="187">
        <v>21</v>
      </c>
      <c r="Q43" s="187">
        <v>21</v>
      </c>
      <c r="R43" s="188">
        <v>21</v>
      </c>
      <c r="S43" s="188">
        <v>21</v>
      </c>
      <c r="T43" s="185"/>
      <c r="U43" s="185"/>
      <c r="V43" s="189"/>
      <c r="W43" s="190">
        <v>0</v>
      </c>
      <c r="X43" s="191">
        <v>1</v>
      </c>
      <c r="Y43" s="186" t="s">
        <v>1112</v>
      </c>
      <c r="Z43" s="192"/>
      <c r="AA43" s="97">
        <v>1</v>
      </c>
      <c r="AB43" s="97">
        <v>0.5</v>
      </c>
      <c r="AC43" s="123"/>
      <c r="AD43" s="4"/>
      <c r="AE43" s="4"/>
      <c r="AF43" s="4" t="str">
        <f>" " &amp; TEXT(AB43,"#0.00%") &amp; " " &amp; "서비스기능" &amp; "(안희수)" &amp; " " &amp; IF(M43="","",TEXT(M43,"M/D-")) &amp; IF(N43="","",TEXT(N43,"M/D")) &amp; " "</f>
        <v xml:space="preserve"> 50.00% 서비스기능(안희수) 9/20-10/22 </v>
      </c>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row>
    <row r="44" spans="1:70" outlineLevel="2">
      <c r="A44" s="116"/>
      <c r="B44" s="116" t="s">
        <v>1044</v>
      </c>
      <c r="C44" s="116">
        <v>3</v>
      </c>
      <c r="D44" s="3" t="s">
        <v>1057</v>
      </c>
      <c r="E44" s="184"/>
      <c r="F44" s="184"/>
      <c r="G44" s="184" t="s">
        <v>1009</v>
      </c>
      <c r="H44" s="184"/>
      <c r="I44" s="184"/>
      <c r="J44" s="184"/>
      <c r="K44" s="184"/>
      <c r="L44" s="184"/>
      <c r="M44" s="185">
        <v>43760</v>
      </c>
      <c r="N44" s="185">
        <v>43761</v>
      </c>
      <c r="O44" s="186"/>
      <c r="P44" s="187">
        <v>4</v>
      </c>
      <c r="Q44" s="187">
        <v>4</v>
      </c>
      <c r="R44" s="188">
        <v>2</v>
      </c>
      <c r="S44" s="188">
        <v>2</v>
      </c>
      <c r="T44" s="185"/>
      <c r="U44" s="185"/>
      <c r="V44" s="189">
        <v>0</v>
      </c>
      <c r="W44" s="190">
        <v>0</v>
      </c>
      <c r="X44" s="191"/>
      <c r="Y44" s="186"/>
      <c r="Z44" s="192"/>
      <c r="AA44" s="97">
        <v>1</v>
      </c>
      <c r="AB44" s="97">
        <v>0.5</v>
      </c>
      <c r="AC44" s="123"/>
      <c r="AD44" s="4"/>
      <c r="AE44" s="4"/>
      <c r="AF44" s="4"/>
      <c r="AG44" s="4"/>
      <c r="AH44" s="4" t="str">
        <f>"   " &amp; TEXT(AB44,"#0.00%") &amp; " " &amp; "테스트실시" &amp; " " &amp; IF(M44="","",TEXT(M44,"M/D-")) &amp; IF(N44="","",TEXT(N44,"M/D")) &amp; " "</f>
        <v xml:space="preserve">   50.00% 테스트실시 10/22-10/23 </v>
      </c>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row>
    <row r="45" spans="1:70" outlineLevel="3">
      <c r="A45" s="116"/>
      <c r="B45" s="116"/>
      <c r="C45" s="116">
        <v>4</v>
      </c>
      <c r="D45" s="3" t="s">
        <v>1010</v>
      </c>
      <c r="E45" s="184"/>
      <c r="F45" s="184"/>
      <c r="G45" s="184"/>
      <c r="H45" s="184" t="s">
        <v>1011</v>
      </c>
      <c r="I45" s="184"/>
      <c r="J45" s="184"/>
      <c r="K45" s="184"/>
      <c r="L45" s="184"/>
      <c r="M45" s="185">
        <v>43760</v>
      </c>
      <c r="N45" s="185">
        <v>43761</v>
      </c>
      <c r="O45" s="186"/>
      <c r="P45" s="187">
        <v>2</v>
      </c>
      <c r="Q45" s="187">
        <v>2</v>
      </c>
      <c r="R45" s="188">
        <v>2</v>
      </c>
      <c r="S45" s="188">
        <v>2</v>
      </c>
      <c r="T45" s="185"/>
      <c r="U45" s="185"/>
      <c r="V45" s="189"/>
      <c r="W45" s="190">
        <v>0</v>
      </c>
      <c r="X45" s="191">
        <v>1</v>
      </c>
      <c r="Y45" s="186" t="s">
        <v>1108</v>
      </c>
      <c r="Z45" s="192"/>
      <c r="AA45" s="97">
        <v>1</v>
      </c>
      <c r="AB45" s="97">
        <v>0.5</v>
      </c>
      <c r="AC45" s="123"/>
      <c r="AD45" s="4"/>
      <c r="AE45" s="4"/>
      <c r="AF45" s="4"/>
      <c r="AG45" s="4"/>
      <c r="AH45" s="4" t="str">
        <f>"   " &amp; TEXT(AB45,"#0.00%") &amp; " " &amp; "통합테스트실시" &amp; "(김세종)" &amp; " " &amp; IF(M45="","",TEXT(M45,"M/D-")) &amp; IF(N45="","",TEXT(N45,"M/D")) &amp; " "</f>
        <v xml:space="preserve">   50.00% 통합테스트실시(김세종) 10/22-10/23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row>
    <row r="46" spans="1:70" outlineLevel="3">
      <c r="A46" s="116"/>
      <c r="B46" s="116"/>
      <c r="C46" s="116">
        <v>4</v>
      </c>
      <c r="D46" s="3" t="s">
        <v>1012</v>
      </c>
      <c r="E46" s="184"/>
      <c r="F46" s="184"/>
      <c r="G46" s="184"/>
      <c r="H46" s="184" t="s">
        <v>1013</v>
      </c>
      <c r="I46" s="184"/>
      <c r="J46" s="184"/>
      <c r="K46" s="184"/>
      <c r="L46" s="184"/>
      <c r="M46" s="185">
        <v>43760</v>
      </c>
      <c r="N46" s="185">
        <v>43761</v>
      </c>
      <c r="O46" s="186"/>
      <c r="P46" s="187">
        <v>2</v>
      </c>
      <c r="Q46" s="187">
        <v>2</v>
      </c>
      <c r="R46" s="188">
        <v>2</v>
      </c>
      <c r="S46" s="188">
        <v>2</v>
      </c>
      <c r="T46" s="185"/>
      <c r="U46" s="185"/>
      <c r="V46" s="189"/>
      <c r="W46" s="190">
        <v>0</v>
      </c>
      <c r="X46" s="191">
        <v>1</v>
      </c>
      <c r="Y46" s="186" t="s">
        <v>1108</v>
      </c>
      <c r="Z46" s="192"/>
      <c r="AA46" s="97">
        <v>1</v>
      </c>
      <c r="AB46" s="97">
        <v>0.5</v>
      </c>
      <c r="AC46" s="123"/>
      <c r="AD46" s="4"/>
      <c r="AE46" s="4"/>
      <c r="AF46" s="4"/>
      <c r="AG46" s="4"/>
      <c r="AH46" s="4" t="str">
        <f>"   " &amp; TEXT(AB46,"#0.00%") &amp; " " &amp; "시스템테스트실시" &amp; "(김세종)" &amp; " " &amp; IF(M46="","",TEXT(M46,"M/D-")) &amp; IF(N46="","",TEXT(N46,"M/D")) &amp; " "</f>
        <v xml:space="preserve">   50.00% 시스템테스트실시(김세종) 10/22-10/23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row>
    <row r="47" spans="1:70" outlineLevel="1">
      <c r="A47" s="116"/>
      <c r="B47" s="116" t="s">
        <v>1044</v>
      </c>
      <c r="C47" s="116">
        <v>2</v>
      </c>
      <c r="D47" s="3" t="s">
        <v>1058</v>
      </c>
      <c r="E47" s="184"/>
      <c r="F47" s="184" t="s">
        <v>1014</v>
      </c>
      <c r="G47" s="184"/>
      <c r="H47" s="184"/>
      <c r="I47" s="184"/>
      <c r="J47" s="184"/>
      <c r="K47" s="184"/>
      <c r="L47" s="184"/>
      <c r="M47" s="185">
        <v>43761</v>
      </c>
      <c r="N47" s="185">
        <v>43763</v>
      </c>
      <c r="O47" s="186"/>
      <c r="P47" s="187">
        <v>5</v>
      </c>
      <c r="Q47" s="187">
        <v>5</v>
      </c>
      <c r="R47" s="188">
        <v>3</v>
      </c>
      <c r="S47" s="188">
        <v>3</v>
      </c>
      <c r="T47" s="185"/>
      <c r="U47" s="185"/>
      <c r="V47" s="189">
        <v>0</v>
      </c>
      <c r="W47" s="190">
        <v>0</v>
      </c>
      <c r="X47" s="191"/>
      <c r="Y47" s="186"/>
      <c r="Z47" s="192"/>
      <c r="AA47" s="97">
        <v>1</v>
      </c>
      <c r="AB47" s="97">
        <v>0.5</v>
      </c>
      <c r="AC47" s="123"/>
      <c r="AD47" s="4"/>
      <c r="AE47" s="4"/>
      <c r="AF47" s="4"/>
      <c r="AG47" s="4"/>
      <c r="AH47" s="4" t="str">
        <f>"     " &amp; TEXT(AB47,"#0.00%") &amp; " " &amp; "구현" &amp; " " &amp; IF(M47="","",TEXT(M47,"M/D-")) &amp; IF(N47="","",TEXT(N47,"M/D")) &amp; " "</f>
        <v xml:space="preserve">     50.00% 구현 10/23-10/25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row>
    <row r="48" spans="1:70" outlineLevel="2">
      <c r="A48" s="116"/>
      <c r="B48" s="116" t="s">
        <v>1044</v>
      </c>
      <c r="C48" s="116">
        <v>3</v>
      </c>
      <c r="D48" s="3" t="s">
        <v>1059</v>
      </c>
      <c r="E48" s="184"/>
      <c r="F48" s="184"/>
      <c r="G48" s="184" t="s">
        <v>1015</v>
      </c>
      <c r="H48" s="184"/>
      <c r="I48" s="184"/>
      <c r="J48" s="184"/>
      <c r="K48" s="184"/>
      <c r="L48" s="184"/>
      <c r="M48" s="185">
        <v>43761</v>
      </c>
      <c r="N48" s="185">
        <v>43761</v>
      </c>
      <c r="O48" s="186"/>
      <c r="P48" s="187">
        <v>1</v>
      </c>
      <c r="Q48" s="187">
        <v>1</v>
      </c>
      <c r="R48" s="188">
        <v>1</v>
      </c>
      <c r="S48" s="188">
        <v>1</v>
      </c>
      <c r="T48" s="185"/>
      <c r="U48" s="185"/>
      <c r="V48" s="189">
        <v>0</v>
      </c>
      <c r="W48" s="190">
        <v>0</v>
      </c>
      <c r="X48" s="191"/>
      <c r="Y48" s="186"/>
      <c r="Z48" s="192"/>
      <c r="AA48" s="97">
        <v>1</v>
      </c>
      <c r="AB48" s="97">
        <v>0.5</v>
      </c>
      <c r="AC48" s="123"/>
      <c r="AD48" s="4"/>
      <c r="AE48" s="4"/>
      <c r="AF48" s="4"/>
      <c r="AG48" s="4"/>
      <c r="AH48" s="4" t="str">
        <f>"   " &amp; TEXT(AB48,"#0.00%") &amp; " " &amp; "구현준비" &amp; " " &amp; IF(M48="","",TEXT(M48,"M/D-")) &amp; IF(N48="","",TEXT(N48,"M/D")) &amp; " "</f>
        <v xml:space="preserve">   50.00% 구현준비 10/23-10/23 </v>
      </c>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row>
    <row r="49" spans="1:70" outlineLevel="3">
      <c r="A49" s="116"/>
      <c r="B49" s="116"/>
      <c r="C49" s="116">
        <v>4</v>
      </c>
      <c r="D49" s="3" t="s">
        <v>1016</v>
      </c>
      <c r="E49" s="184"/>
      <c r="F49" s="184"/>
      <c r="G49" s="184"/>
      <c r="H49" s="184" t="s">
        <v>1017</v>
      </c>
      <c r="I49" s="184"/>
      <c r="J49" s="184"/>
      <c r="K49" s="184"/>
      <c r="L49" s="184"/>
      <c r="M49" s="185">
        <v>43761</v>
      </c>
      <c r="N49" s="185">
        <v>43761</v>
      </c>
      <c r="O49" s="186"/>
      <c r="P49" s="187">
        <v>1</v>
      </c>
      <c r="Q49" s="187">
        <v>1</v>
      </c>
      <c r="R49" s="188">
        <v>1</v>
      </c>
      <c r="S49" s="188">
        <v>1</v>
      </c>
      <c r="T49" s="185"/>
      <c r="U49" s="185"/>
      <c r="V49" s="189"/>
      <c r="W49" s="190">
        <v>0</v>
      </c>
      <c r="X49" s="191">
        <v>1</v>
      </c>
      <c r="Y49" s="186" t="s">
        <v>1097</v>
      </c>
      <c r="Z49" s="192"/>
      <c r="AA49" s="97">
        <v>1</v>
      </c>
      <c r="AB49" s="97">
        <v>0.5</v>
      </c>
      <c r="AC49" s="123"/>
      <c r="AD49" s="4"/>
      <c r="AE49" s="4"/>
      <c r="AF49" s="4"/>
      <c r="AG49" s="4"/>
      <c r="AH49" s="4" t="str">
        <f>"   " &amp; TEXT(AB49,"#0.00%") &amp; " " &amp; "Release 및 Contingency plan수립" &amp; "(김세종,정준모,조규민,이태성,배재준,안희수)" &amp; " " &amp; IF(M49="","",TEXT(M49,"M/D-")) &amp; IF(N49="","",TEXT(N49,"M/D")) &amp; " "</f>
        <v xml:space="preserve">   50.00% Release 및 Contingency plan수립(김세종,정준모,조규민,이태성,배재준,안희수) 10/23-10/23 </v>
      </c>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row>
    <row r="50" spans="1:70" outlineLevel="2">
      <c r="A50" s="116"/>
      <c r="B50" s="116" t="s">
        <v>1044</v>
      </c>
      <c r="C50" s="116">
        <v>3</v>
      </c>
      <c r="D50" s="3" t="s">
        <v>1060</v>
      </c>
      <c r="E50" s="184"/>
      <c r="F50" s="184"/>
      <c r="G50" s="184" t="s">
        <v>1018</v>
      </c>
      <c r="H50" s="184"/>
      <c r="I50" s="184"/>
      <c r="J50" s="184"/>
      <c r="K50" s="184"/>
      <c r="L50" s="184"/>
      <c r="M50" s="185">
        <v>43762</v>
      </c>
      <c r="N50" s="185">
        <v>43763</v>
      </c>
      <c r="O50" s="186"/>
      <c r="P50" s="187">
        <v>4</v>
      </c>
      <c r="Q50" s="187">
        <v>4</v>
      </c>
      <c r="R50" s="188">
        <v>2</v>
      </c>
      <c r="S50" s="188">
        <v>2</v>
      </c>
      <c r="T50" s="185"/>
      <c r="U50" s="185"/>
      <c r="V50" s="189">
        <v>0</v>
      </c>
      <c r="W50" s="190">
        <v>0</v>
      </c>
      <c r="X50" s="191"/>
      <c r="Y50" s="186"/>
      <c r="Z50" s="192"/>
      <c r="AA50" s="97">
        <v>1</v>
      </c>
      <c r="AB50" s="97">
        <v>0.5</v>
      </c>
      <c r="AC50" s="123"/>
      <c r="AD50" s="4"/>
      <c r="AE50" s="4"/>
      <c r="AF50" s="4"/>
      <c r="AG50" s="4"/>
      <c r="AH50" s="4" t="str">
        <f>"     " &amp; TEXT(AB50,"#0.00%") &amp; " " &amp; "Conversion 및 Release" &amp; " " &amp; IF(M50="","",TEXT(M50,"M/D-")) &amp; IF(N50="","",TEXT(N50,"M/D")) &amp; " "</f>
        <v xml:space="preserve">     50.00% Conversion 및 Release 10/24-10/25 </v>
      </c>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row>
    <row r="51" spans="1:70" outlineLevel="3">
      <c r="A51" s="116"/>
      <c r="B51" s="116"/>
      <c r="C51" s="116">
        <v>4</v>
      </c>
      <c r="D51" s="3" t="s">
        <v>1019</v>
      </c>
      <c r="E51" s="184"/>
      <c r="F51" s="184"/>
      <c r="G51" s="184"/>
      <c r="H51" s="184" t="s">
        <v>1020</v>
      </c>
      <c r="I51" s="184"/>
      <c r="J51" s="184"/>
      <c r="K51" s="184"/>
      <c r="L51" s="184"/>
      <c r="M51" s="185">
        <v>43762</v>
      </c>
      <c r="N51" s="185">
        <v>43762</v>
      </c>
      <c r="O51" s="186"/>
      <c r="P51" s="187">
        <v>1</v>
      </c>
      <c r="Q51" s="187">
        <v>1</v>
      </c>
      <c r="R51" s="188">
        <v>1</v>
      </c>
      <c r="S51" s="188">
        <v>1</v>
      </c>
      <c r="T51" s="185"/>
      <c r="U51" s="185"/>
      <c r="V51" s="189"/>
      <c r="W51" s="190">
        <v>0</v>
      </c>
      <c r="X51" s="191">
        <v>1</v>
      </c>
      <c r="Y51" s="186" t="s">
        <v>1097</v>
      </c>
      <c r="Z51" s="192"/>
      <c r="AA51" s="97">
        <v>1</v>
      </c>
      <c r="AB51" s="97">
        <v>0.5</v>
      </c>
      <c r="AC51" s="123"/>
      <c r="AD51" s="4"/>
      <c r="AE51" s="4"/>
      <c r="AF51" s="4"/>
      <c r="AG51" s="4"/>
      <c r="AH51" s="4" t="str">
        <f>"     " &amp; TEXT(AB51,"#0.00%") &amp; " " &amp; "데이터베이스구축" &amp; "(김세종,정준모,조규민,이태성,배재준,안희수)" &amp; " " &amp; IF(M51="","",TEXT(M51,"M/D-")) &amp; IF(N51="","",TEXT(N51,"M/D")) &amp; " "</f>
        <v xml:space="preserve">     50.00% 데이터베이스구축(김세종,정준모,조규민,이태성,배재준,안희수) 10/24-10/24 </v>
      </c>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row>
    <row r="52" spans="1:70" outlineLevel="3">
      <c r="A52" s="116"/>
      <c r="B52" s="116"/>
      <c r="C52" s="116">
        <v>4</v>
      </c>
      <c r="D52" s="3" t="s">
        <v>1021</v>
      </c>
      <c r="E52" s="184"/>
      <c r="F52" s="184"/>
      <c r="G52" s="184"/>
      <c r="H52" s="184" t="s">
        <v>1022</v>
      </c>
      <c r="I52" s="184"/>
      <c r="J52" s="184"/>
      <c r="K52" s="184"/>
      <c r="L52" s="184"/>
      <c r="M52" s="185">
        <v>43762</v>
      </c>
      <c r="N52" s="185">
        <v>43762</v>
      </c>
      <c r="O52" s="186"/>
      <c r="P52" s="187">
        <v>1</v>
      </c>
      <c r="Q52" s="187">
        <v>1</v>
      </c>
      <c r="R52" s="188">
        <v>1</v>
      </c>
      <c r="S52" s="188">
        <v>1</v>
      </c>
      <c r="T52" s="185"/>
      <c r="U52" s="185"/>
      <c r="V52" s="189"/>
      <c r="W52" s="190">
        <v>0</v>
      </c>
      <c r="X52" s="191">
        <v>1</v>
      </c>
      <c r="Y52" s="186" t="s">
        <v>1122</v>
      </c>
      <c r="Z52" s="192"/>
      <c r="AA52" s="97">
        <v>1</v>
      </c>
      <c r="AB52" s="97">
        <v>0.5</v>
      </c>
      <c r="AC52" s="123"/>
      <c r="AD52" s="4"/>
      <c r="AE52" s="4"/>
      <c r="AF52" s="4"/>
      <c r="AG52" s="4"/>
      <c r="AH52" s="4" t="str">
        <f>"     " &amp; TEXT(AB52,"#0.00%") &amp; " " &amp; "소프트웨어설치" &amp; "(안희수,김세종)" &amp; " " &amp; IF(M52="","",TEXT(M52,"M/D-")) &amp; IF(N52="","",TEXT(N52,"M/D")) &amp; " "</f>
        <v xml:space="preserve">     50.00% 소프트웨어설치(안희수,김세종) 10/24-10/24 </v>
      </c>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row>
    <row r="53" spans="1:70" outlineLevel="3">
      <c r="A53" s="116"/>
      <c r="B53" s="116"/>
      <c r="C53" s="116">
        <v>4</v>
      </c>
      <c r="D53" s="3" t="s">
        <v>1023</v>
      </c>
      <c r="E53" s="184"/>
      <c r="F53" s="184"/>
      <c r="G53" s="184"/>
      <c r="H53" s="184" t="s">
        <v>1024</v>
      </c>
      <c r="I53" s="184"/>
      <c r="J53" s="184"/>
      <c r="K53" s="184"/>
      <c r="L53" s="184"/>
      <c r="M53" s="185">
        <v>43762</v>
      </c>
      <c r="N53" s="185">
        <v>43762</v>
      </c>
      <c r="O53" s="186"/>
      <c r="P53" s="187">
        <v>1</v>
      </c>
      <c r="Q53" s="187">
        <v>1</v>
      </c>
      <c r="R53" s="188">
        <v>1</v>
      </c>
      <c r="S53" s="188">
        <v>1</v>
      </c>
      <c r="T53" s="185"/>
      <c r="U53" s="185"/>
      <c r="V53" s="189"/>
      <c r="W53" s="190">
        <v>0</v>
      </c>
      <c r="X53" s="191">
        <v>1</v>
      </c>
      <c r="Y53" s="186" t="s">
        <v>1122</v>
      </c>
      <c r="Z53" s="192"/>
      <c r="AA53" s="97">
        <v>1</v>
      </c>
      <c r="AB53" s="97">
        <v>0.5</v>
      </c>
      <c r="AC53" s="123"/>
      <c r="AD53" s="4"/>
      <c r="AE53" s="4"/>
      <c r="AF53" s="4"/>
      <c r="AG53" s="4"/>
      <c r="AH53" s="4" t="str">
        <f>"     " &amp; TEXT(AB53,"#0.00%") &amp; " " &amp; "인수테스트실시" &amp; "(안희수,김세종)" &amp; " " &amp; IF(M53="","",TEXT(M53,"M/D-")) &amp; IF(N53="","",TEXT(N53,"M/D")) &amp; " "</f>
        <v xml:space="preserve">     50.00% 인수테스트실시(안희수,김세종) 10/24-10/24 </v>
      </c>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row>
    <row r="54" spans="1:70" outlineLevel="3">
      <c r="A54" s="116"/>
      <c r="B54" s="116"/>
      <c r="C54" s="116">
        <v>4</v>
      </c>
      <c r="D54" s="3" t="s">
        <v>1025</v>
      </c>
      <c r="E54" s="184"/>
      <c r="F54" s="184"/>
      <c r="G54" s="184"/>
      <c r="H54" s="184" t="s">
        <v>1026</v>
      </c>
      <c r="I54" s="184"/>
      <c r="J54" s="184"/>
      <c r="K54" s="184"/>
      <c r="L54" s="184"/>
      <c r="M54" s="185">
        <v>43763</v>
      </c>
      <c r="N54" s="185">
        <v>43763</v>
      </c>
      <c r="O54" s="186"/>
      <c r="P54" s="187">
        <v>1</v>
      </c>
      <c r="Q54" s="187">
        <v>1</v>
      </c>
      <c r="R54" s="188">
        <v>1</v>
      </c>
      <c r="S54" s="188">
        <v>1</v>
      </c>
      <c r="T54" s="185"/>
      <c r="U54" s="185"/>
      <c r="V54" s="189"/>
      <c r="W54" s="190">
        <v>0</v>
      </c>
      <c r="X54" s="191">
        <v>1</v>
      </c>
      <c r="Y54" s="186" t="s">
        <v>1122</v>
      </c>
      <c r="Z54" s="192"/>
      <c r="AA54" s="97">
        <v>1</v>
      </c>
      <c r="AB54" s="97">
        <v>0.5</v>
      </c>
      <c r="AC54" s="123"/>
      <c r="AD54" s="4"/>
      <c r="AE54" s="4"/>
      <c r="AF54" s="4"/>
      <c r="AG54" s="4"/>
      <c r="AH54" s="4" t="str">
        <f>"     " &amp; TEXT(AB54,"#0.00%") &amp; " " &amp; "시스템오픈" &amp; "(안희수,김세종)" &amp; " " &amp; IF(M54="","",TEXT(M54,"M/D-")) &amp; IF(N54="","",TEXT(N54,"M/D")) &amp; " "</f>
        <v xml:space="preserve">     50.00% 시스템오픈(안희수,김세종) 10/25-10/25 </v>
      </c>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row>
    <row r="55" spans="1:70">
      <c r="A55" s="194"/>
      <c r="B55" s="194"/>
      <c r="C55" s="194"/>
      <c r="D55" s="195"/>
      <c r="E55" s="196"/>
      <c r="F55" s="196"/>
      <c r="G55" s="196"/>
      <c r="H55" s="196"/>
      <c r="I55" s="196"/>
      <c r="J55" s="196"/>
      <c r="K55" s="196"/>
      <c r="L55" s="196"/>
      <c r="M55" s="197"/>
      <c r="N55" s="197"/>
      <c r="O55" s="198"/>
      <c r="P55" s="199"/>
      <c r="Q55" s="199"/>
      <c r="R55" s="200"/>
      <c r="S55" s="200"/>
      <c r="T55" s="197"/>
      <c r="U55" s="197"/>
      <c r="V55" s="201"/>
      <c r="W55" s="202"/>
      <c r="X55" s="203"/>
      <c r="Y55" s="198"/>
      <c r="Z55" s="204"/>
      <c r="AA55" s="205"/>
      <c r="AB55" s="206"/>
      <c r="AC55" s="182"/>
      <c r="AD55" s="182"/>
      <c r="AE55" s="182"/>
      <c r="AF55" s="182"/>
      <c r="AG55" s="182"/>
      <c r="AH55" s="182"/>
      <c r="AI55" s="182"/>
      <c r="AJ55" s="182"/>
      <c r="AK55" s="182"/>
      <c r="AL55" s="182"/>
      <c r="AM55" s="182"/>
      <c r="AN55" s="182"/>
      <c r="AO55" s="182"/>
      <c r="AP55" s="182"/>
      <c r="AQ55" s="182"/>
      <c r="AR55" s="182"/>
      <c r="AS55" s="182"/>
      <c r="AT55" s="182"/>
      <c r="AU55" s="182"/>
      <c r="AV55" s="182"/>
      <c r="AW55" s="182"/>
      <c r="AX55" s="182"/>
      <c r="AY55" s="182"/>
      <c r="AZ55" s="182"/>
      <c r="BA55" s="182"/>
      <c r="BB55" s="182"/>
      <c r="BC55" s="182"/>
      <c r="BD55" s="182"/>
      <c r="BE55" s="182"/>
      <c r="BF55" s="182"/>
      <c r="BG55" s="182"/>
      <c r="BH55" s="182"/>
      <c r="BI55" s="182"/>
      <c r="BJ55" s="182"/>
      <c r="BK55" s="182"/>
      <c r="BL55" s="182"/>
      <c r="BM55" s="182"/>
      <c r="BN55" s="182"/>
      <c r="BO55" s="182"/>
      <c r="BP55" s="182"/>
      <c r="BQ55" s="182"/>
      <c r="BR55" s="182"/>
    </row>
    <row r="56" spans="1:70">
      <c r="A56" s="116"/>
      <c r="B56" s="116"/>
      <c r="C56" s="116"/>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70">
      <c r="A57" s="116"/>
      <c r="B57" s="116"/>
      <c r="C57" s="116"/>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70">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70">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70">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70">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70">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70">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70">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207"/>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69"/>
      <c r="B128" s="169"/>
      <c r="C128" s="169"/>
      <c r="D128" s="170"/>
      <c r="E128" s="171"/>
      <c r="F128" s="171"/>
      <c r="G128" s="171"/>
      <c r="H128" s="171"/>
      <c r="I128" s="171"/>
      <c r="J128" s="171"/>
      <c r="K128" s="171"/>
      <c r="L128" s="171"/>
      <c r="M128" s="172"/>
      <c r="N128" s="172"/>
      <c r="O128" s="173"/>
      <c r="P128" s="174"/>
      <c r="Q128" s="174"/>
      <c r="R128" s="175"/>
      <c r="S128" s="175"/>
      <c r="T128" s="172"/>
      <c r="U128" s="172"/>
      <c r="V128" s="176"/>
      <c r="W128" s="177"/>
      <c r="X128" s="178"/>
      <c r="Y128" s="173"/>
      <c r="Z128" s="179"/>
      <c r="AA128" s="180"/>
      <c r="AB128" s="181"/>
    </row>
  </sheetData>
  <sheetProtection formatCells="0" formatColumns="0" formatRows="0" insertColumns="0" insertRows="0" insertHyperlinks="0" deleteColumns="0" deleteRows="0" sort="0" autoFilter="0" pivotTables="0"/>
  <dataConsolidate/>
  <mergeCells count="26">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54">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sheetPr codeName="Sheet12"/>
  <dimension ref="A1:W30"/>
  <sheetViews>
    <sheetView showGridLines="0" workbookViewId="0">
      <pane ySplit="1" topLeftCell="A2" activePane="bottomLeft" state="frozenSplit"/>
      <selection activeCell="E5" sqref="E5"/>
      <selection pane="bottomLeft" activeCell="A43" sqref="A43"/>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1177</v>
      </c>
      <c r="B1" s="18"/>
      <c r="C1" s="18"/>
      <c r="D1" s="18"/>
      <c r="E1" s="18"/>
      <c r="F1" s="18"/>
      <c r="G1" s="18"/>
      <c r="H1" s="18"/>
      <c r="I1" s="18"/>
      <c r="J1" s="18"/>
      <c r="K1" s="18"/>
      <c r="L1" s="242"/>
      <c r="M1" s="243"/>
      <c r="N1" s="243"/>
      <c r="O1" s="19"/>
      <c r="P1" s="19"/>
      <c r="Q1" s="19"/>
    </row>
    <row r="2" spans="1:17" s="23" customFormat="1" ht="12.75">
      <c r="A2" s="21" t="s">
        <v>1063</v>
      </c>
      <c r="B2" s="22"/>
    </row>
    <row r="3" spans="1:17" s="23" customFormat="1" ht="12.75">
      <c r="A3" s="21" t="s">
        <v>1064</v>
      </c>
      <c r="B3" s="22"/>
    </row>
    <row r="4" spans="1:17" s="23" customFormat="1" ht="12.75">
      <c r="A4" s="244"/>
      <c r="B4" s="244"/>
      <c r="C4" s="24"/>
      <c r="D4" s="25"/>
      <c r="E4" s="25"/>
      <c r="F4" s="25"/>
    </row>
    <row r="5" spans="1:17" s="31" customFormat="1" ht="12.75">
      <c r="A5" s="26"/>
      <c r="B5" s="27"/>
      <c r="C5" s="28"/>
      <c r="D5" s="29"/>
      <c r="E5" s="30"/>
      <c r="F5" s="30"/>
      <c r="G5" s="30"/>
    </row>
    <row r="6" spans="1:17" s="31" customFormat="1" ht="12.75">
      <c r="A6" s="32" t="s">
        <v>1065</v>
      </c>
      <c r="B6" s="33">
        <v>174</v>
      </c>
      <c r="C6" s="31" t="s">
        <v>1</v>
      </c>
      <c r="D6" s="241" t="s">
        <v>1066</v>
      </c>
      <c r="E6" s="241"/>
      <c r="F6" s="241"/>
      <c r="G6" s="241"/>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1067</v>
      </c>
      <c r="B9" s="33">
        <v>174</v>
      </c>
      <c r="C9" s="31" t="s">
        <v>1</v>
      </c>
      <c r="D9" s="240" t="s">
        <v>1068</v>
      </c>
      <c r="E9" s="240"/>
      <c r="F9" s="240"/>
      <c r="G9" s="240"/>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1178</v>
      </c>
      <c r="B12" s="33">
        <v>95.5</v>
      </c>
      <c r="C12" s="31" t="s">
        <v>1</v>
      </c>
      <c r="D12" s="240" t="s">
        <v>1179</v>
      </c>
      <c r="E12" s="240"/>
      <c r="F12" s="240"/>
      <c r="G12" s="240"/>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1062</v>
      </c>
      <c r="B15" s="33"/>
      <c r="C15" s="31" t="s">
        <v>1</v>
      </c>
      <c r="D15" s="240" t="s">
        <v>1069</v>
      </c>
      <c r="E15" s="240"/>
      <c r="F15" s="240"/>
      <c r="G15" s="240"/>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1070</v>
      </c>
      <c r="B18" s="55">
        <v>1</v>
      </c>
      <c r="D18" s="240" t="s">
        <v>1071</v>
      </c>
      <c r="E18" s="240"/>
      <c r="F18" s="240"/>
      <c r="G18" s="240"/>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1072</v>
      </c>
      <c r="B21" s="55">
        <v>0.54885057471264365</v>
      </c>
      <c r="D21" s="240" t="s">
        <v>1073</v>
      </c>
      <c r="E21" s="240"/>
      <c r="F21" s="240"/>
      <c r="G21" s="240"/>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1074</v>
      </c>
      <c r="B24" s="65">
        <f>ACTUAL_RATE-PLANNED_RATE</f>
        <v>-0.45114942528735635</v>
      </c>
      <c r="D24" s="241" t="s">
        <v>1075</v>
      </c>
      <c r="E24" s="241"/>
      <c r="F24" s="241"/>
      <c r="G24" s="241"/>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Sheet2"/>
  <dimension ref="B1:F13"/>
  <sheetViews>
    <sheetView showGridLines="0" zoomScale="115" zoomScaleNormal="115" workbookViewId="0">
      <pane ySplit="1" topLeftCell="A2" activePane="bottomLeft" state="frozen"/>
      <selection pane="bottomLeft"/>
    </sheetView>
  </sheetViews>
  <sheetFormatPr defaultColWidth="9.125" defaultRowHeight="15"/>
  <cols>
    <col min="1" max="1" width="1.625" style="213" customWidth="1"/>
    <col min="2" max="3" width="10.5" style="213" bestFit="1" customWidth="1"/>
    <col min="4" max="4" width="9.125" style="213"/>
    <col min="5" max="5" width="10.625" style="213" customWidth="1"/>
    <col min="6" max="16384" width="9.125" style="213"/>
  </cols>
  <sheetData>
    <row r="1" spans="2:6" ht="36.950000000000003" customHeight="1">
      <c r="B1" s="78" t="s">
        <v>1088</v>
      </c>
    </row>
    <row r="2" spans="2:6">
      <c r="B2" s="213" t="s">
        <v>1089</v>
      </c>
    </row>
    <row r="3" spans="2:6">
      <c r="B3" s="213" t="s">
        <v>1090</v>
      </c>
    </row>
    <row r="6" spans="2:6" ht="30">
      <c r="B6" s="79" t="s">
        <v>1076</v>
      </c>
      <c r="C6" s="183" t="s">
        <v>1077</v>
      </c>
      <c r="D6" s="183" t="s">
        <v>2</v>
      </c>
      <c r="E6" s="183" t="s">
        <v>1091</v>
      </c>
      <c r="F6" s="212" t="s">
        <v>1092</v>
      </c>
    </row>
    <row r="7" spans="2:6">
      <c r="B7" s="208">
        <v>43724</v>
      </c>
      <c r="C7" s="208">
        <v>43729</v>
      </c>
      <c r="D7" s="209">
        <v>20.000000000000018</v>
      </c>
      <c r="E7" s="209">
        <f>D7</f>
        <v>20.000000000000018</v>
      </c>
      <c r="F7" s="214">
        <f t="shared" ref="F7:F12" si="0">E7/$D$13</f>
        <v>0.11494252873563228</v>
      </c>
    </row>
    <row r="8" spans="2:6">
      <c r="B8" s="210">
        <v>43730</v>
      </c>
      <c r="C8" s="210">
        <v>43736</v>
      </c>
      <c r="D8" s="211">
        <v>43</v>
      </c>
      <c r="E8" s="211">
        <f>E7+D8</f>
        <v>63.000000000000014</v>
      </c>
      <c r="F8" s="215">
        <f t="shared" si="0"/>
        <v>0.36206896551724144</v>
      </c>
    </row>
    <row r="9" spans="2:6">
      <c r="B9" s="210">
        <v>43737</v>
      </c>
      <c r="C9" s="210">
        <v>43743</v>
      </c>
      <c r="D9" s="211">
        <v>26</v>
      </c>
      <c r="E9" s="211">
        <f t="shared" ref="E9:E12" si="1">E8+D9</f>
        <v>89.000000000000014</v>
      </c>
      <c r="F9" s="215">
        <f t="shared" si="0"/>
        <v>0.51149425287356332</v>
      </c>
    </row>
    <row r="10" spans="2:6">
      <c r="B10" s="210">
        <v>43744</v>
      </c>
      <c r="C10" s="210">
        <v>43750</v>
      </c>
      <c r="D10" s="211">
        <v>25</v>
      </c>
      <c r="E10" s="211">
        <f t="shared" si="1"/>
        <v>114.00000000000001</v>
      </c>
      <c r="F10" s="215">
        <f t="shared" si="0"/>
        <v>0.65517241379310354</v>
      </c>
    </row>
    <row r="11" spans="2:6">
      <c r="B11" s="210">
        <v>43751</v>
      </c>
      <c r="C11" s="210">
        <v>43757</v>
      </c>
      <c r="D11" s="211">
        <v>32</v>
      </c>
      <c r="E11" s="211">
        <f t="shared" si="1"/>
        <v>146</v>
      </c>
      <c r="F11" s="215">
        <f t="shared" si="0"/>
        <v>0.83908045977011492</v>
      </c>
    </row>
    <row r="12" spans="2:6">
      <c r="B12" s="210">
        <v>43758</v>
      </c>
      <c r="C12" s="210">
        <v>43764</v>
      </c>
      <c r="D12" s="211">
        <v>28.000000000000014</v>
      </c>
      <c r="E12" s="211">
        <f t="shared" si="1"/>
        <v>174</v>
      </c>
      <c r="F12" s="215">
        <f t="shared" si="0"/>
        <v>1</v>
      </c>
    </row>
    <row r="13" spans="2:6">
      <c r="C13" s="213" t="s">
        <v>4</v>
      </c>
      <c r="D13" s="213">
        <f>SUM(D7:D12)</f>
        <v>174</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sheetPr codeName="Sheet3"/>
  <dimension ref="A1:J305"/>
  <sheetViews>
    <sheetView showGridLines="0" zoomScale="85" zoomScaleNormal="85" workbookViewId="0">
      <pane ySplit="1" topLeftCell="A2" activePane="bottomLeft" state="frozenSplit"/>
      <selection pane="bottomLeft" activeCell="J25" sqref="J2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9" s="80" customFormat="1" ht="36.950000000000003" customHeight="1">
      <c r="A1" s="17" t="s">
        <v>1078</v>
      </c>
      <c r="B1" s="17"/>
      <c r="C1" s="17"/>
      <c r="D1" s="17"/>
      <c r="E1" s="17"/>
      <c r="F1" s="17"/>
      <c r="G1" s="17"/>
      <c r="H1" s="17"/>
    </row>
    <row r="2" spans="1:9" s="81" customFormat="1" ht="78.75" customHeight="1">
      <c r="A2" s="245" t="s">
        <v>1079</v>
      </c>
      <c r="B2" s="245"/>
      <c r="C2" s="245"/>
      <c r="D2" s="245"/>
      <c r="E2" s="245"/>
      <c r="F2" s="245"/>
      <c r="G2" s="245"/>
      <c r="H2" s="245"/>
    </row>
    <row r="3" spans="1:9" s="81" customFormat="1" ht="24.75" customHeight="1">
      <c r="A3" s="246" t="s">
        <v>1080</v>
      </c>
      <c r="B3" s="246"/>
      <c r="D3" s="246" t="s">
        <v>1081</v>
      </c>
      <c r="E3" s="246"/>
      <c r="G3" s="246" t="s">
        <v>1082</v>
      </c>
      <c r="H3" s="246"/>
    </row>
    <row r="4" spans="1:9" s="83" customFormat="1" ht="19.5" customHeight="1">
      <c r="A4" s="82" t="s">
        <v>1083</v>
      </c>
      <c r="B4" s="82" t="s">
        <v>1085</v>
      </c>
      <c r="D4" s="82" t="s">
        <v>1084</v>
      </c>
      <c r="E4" s="82" t="s">
        <v>1086</v>
      </c>
      <c r="G4" s="82" t="s">
        <v>1084</v>
      </c>
      <c r="H4" s="82" t="s">
        <v>1085</v>
      </c>
    </row>
    <row r="5" spans="1:9" ht="16.5">
      <c r="A5" s="118" t="s">
        <v>1028</v>
      </c>
      <c r="B5" s="119">
        <v>43101</v>
      </c>
      <c r="C5" s="86" t="str">
        <f t="shared" ref="C5:C68" si="0">IF(B5&gt;0,TEXT(B5,"(aaa)"),"")</f>
        <v>(월)</v>
      </c>
      <c r="D5" s="84"/>
      <c r="E5" s="85"/>
      <c r="F5" s="86" t="str">
        <f t="shared" ref="F5:F68" si="1">IF(E5&gt;0,TEXT(E5,"(aaa)"),"")</f>
        <v/>
      </c>
      <c r="G5" s="84"/>
      <c r="H5" s="85"/>
      <c r="I5" s="86" t="str">
        <f t="shared" ref="I5:I68" si="2">IF(H5&gt;0,TEXT(H5,"(aaa)"),"")</f>
        <v/>
      </c>
    </row>
    <row r="6" spans="1:9" ht="16.5">
      <c r="A6" s="118" t="s">
        <v>1029</v>
      </c>
      <c r="B6" s="119">
        <v>43146</v>
      </c>
      <c r="C6" s="86" t="str">
        <f t="shared" si="0"/>
        <v>(목)</v>
      </c>
      <c r="D6" s="84"/>
      <c r="E6" s="85"/>
      <c r="F6" s="86" t="str">
        <f t="shared" si="1"/>
        <v/>
      </c>
      <c r="G6" s="84"/>
      <c r="H6" s="85"/>
      <c r="I6" s="86" t="str">
        <f t="shared" si="2"/>
        <v/>
      </c>
    </row>
    <row r="7" spans="1:9" ht="16.5">
      <c r="A7" s="118" t="s">
        <v>1030</v>
      </c>
      <c r="B7" s="119">
        <v>43147</v>
      </c>
      <c r="C7" s="86" t="str">
        <f t="shared" si="0"/>
        <v>(금)</v>
      </c>
      <c r="D7" s="84"/>
      <c r="E7" s="85"/>
      <c r="F7" s="86" t="str">
        <f t="shared" si="1"/>
        <v/>
      </c>
      <c r="G7" s="84"/>
      <c r="H7" s="85"/>
      <c r="I7" s="86" t="str">
        <f t="shared" si="2"/>
        <v/>
      </c>
    </row>
    <row r="8" spans="1:9" ht="16.5">
      <c r="A8" s="118" t="s">
        <v>1031</v>
      </c>
      <c r="B8" s="119">
        <v>43160</v>
      </c>
      <c r="C8" s="86" t="str">
        <f t="shared" si="0"/>
        <v>(목)</v>
      </c>
      <c r="D8" s="84"/>
      <c r="E8" s="85"/>
      <c r="F8" s="86" t="str">
        <f t="shared" si="1"/>
        <v/>
      </c>
      <c r="G8" s="84"/>
      <c r="H8" s="85"/>
      <c r="I8" s="86" t="str">
        <f t="shared" si="2"/>
        <v/>
      </c>
    </row>
    <row r="9" spans="1:9" ht="16.5">
      <c r="A9" s="118" t="s">
        <v>909</v>
      </c>
      <c r="B9" s="119">
        <v>43227</v>
      </c>
      <c r="C9" s="86" t="str">
        <f t="shared" si="0"/>
        <v>(월)</v>
      </c>
      <c r="D9" s="84"/>
      <c r="E9" s="85"/>
      <c r="F9" s="86" t="str">
        <f t="shared" si="1"/>
        <v/>
      </c>
      <c r="G9" s="84"/>
      <c r="H9" s="85"/>
      <c r="I9" s="86" t="str">
        <f t="shared" si="2"/>
        <v/>
      </c>
    </row>
    <row r="10" spans="1:9" ht="16.5">
      <c r="A10" s="118" t="s">
        <v>910</v>
      </c>
      <c r="B10" s="119">
        <v>43242</v>
      </c>
      <c r="C10" s="86" t="str">
        <f t="shared" si="0"/>
        <v>(화)</v>
      </c>
      <c r="D10" s="84"/>
      <c r="E10" s="85"/>
      <c r="F10" s="86" t="str">
        <f t="shared" si="1"/>
        <v/>
      </c>
      <c r="G10" s="84"/>
      <c r="H10" s="85"/>
      <c r="I10" s="86" t="str">
        <f t="shared" si="2"/>
        <v/>
      </c>
    </row>
    <row r="11" spans="1:9" ht="16.5">
      <c r="A11" s="118" t="s">
        <v>911</v>
      </c>
      <c r="B11" s="119">
        <v>43257</v>
      </c>
      <c r="C11" s="86" t="str">
        <f t="shared" si="0"/>
        <v>(수)</v>
      </c>
      <c r="D11" s="84"/>
      <c r="E11" s="85"/>
      <c r="F11" s="86" t="str">
        <f t="shared" si="1"/>
        <v/>
      </c>
      <c r="G11" s="84"/>
      <c r="H11" s="85"/>
      <c r="I11" s="86" t="str">
        <f t="shared" si="2"/>
        <v/>
      </c>
    </row>
    <row r="12" spans="1:9" ht="16.5">
      <c r="A12" s="118" t="s">
        <v>912</v>
      </c>
      <c r="B12" s="119">
        <v>43327</v>
      </c>
      <c r="C12" s="86" t="str">
        <f t="shared" si="0"/>
        <v>(수)</v>
      </c>
      <c r="D12" s="84"/>
      <c r="E12" s="85"/>
      <c r="F12" s="86" t="str">
        <f t="shared" si="1"/>
        <v/>
      </c>
      <c r="G12" s="84"/>
      <c r="H12" s="85"/>
      <c r="I12" s="86" t="str">
        <f t="shared" si="2"/>
        <v/>
      </c>
    </row>
    <row r="13" spans="1:9" ht="16.5">
      <c r="A13" s="118" t="s">
        <v>913</v>
      </c>
      <c r="B13" s="119">
        <v>43367</v>
      </c>
      <c r="C13" s="86" t="str">
        <f t="shared" si="0"/>
        <v>(월)</v>
      </c>
      <c r="D13" s="84"/>
      <c r="E13" s="85"/>
      <c r="F13" s="86" t="str">
        <f t="shared" si="1"/>
        <v/>
      </c>
      <c r="G13" s="84"/>
      <c r="H13" s="85"/>
      <c r="I13" s="86" t="str">
        <f t="shared" si="2"/>
        <v/>
      </c>
    </row>
    <row r="14" spans="1:9" ht="16.5">
      <c r="A14" s="118" t="s">
        <v>914</v>
      </c>
      <c r="B14" s="119">
        <v>43368</v>
      </c>
      <c r="C14" s="86" t="str">
        <f t="shared" si="0"/>
        <v>(화)</v>
      </c>
      <c r="D14" s="84"/>
      <c r="E14" s="85"/>
      <c r="F14" s="86" t="str">
        <f t="shared" si="1"/>
        <v/>
      </c>
      <c r="G14" s="84"/>
      <c r="H14" s="85"/>
      <c r="I14" s="86" t="str">
        <f t="shared" si="2"/>
        <v/>
      </c>
    </row>
    <row r="15" spans="1:9" ht="16.5">
      <c r="A15" s="118" t="s">
        <v>915</v>
      </c>
      <c r="B15" s="119">
        <v>43369</v>
      </c>
      <c r="C15" s="86" t="str">
        <f t="shared" si="0"/>
        <v>(수)</v>
      </c>
      <c r="D15" s="84"/>
      <c r="E15" s="85"/>
      <c r="F15" s="86" t="str">
        <f t="shared" si="1"/>
        <v/>
      </c>
      <c r="G15" s="84"/>
      <c r="H15" s="85"/>
      <c r="I15" s="86" t="str">
        <f t="shared" si="2"/>
        <v/>
      </c>
    </row>
    <row r="16" spans="1:9" ht="16.5">
      <c r="A16" s="118" t="s">
        <v>916</v>
      </c>
      <c r="B16" s="119">
        <v>43376</v>
      </c>
      <c r="C16" s="86" t="str">
        <f t="shared" si="0"/>
        <v>(수)</v>
      </c>
      <c r="D16" s="84"/>
      <c r="E16" s="85"/>
      <c r="F16" s="86" t="str">
        <f t="shared" si="1"/>
        <v/>
      </c>
      <c r="G16" s="84"/>
      <c r="H16" s="85"/>
      <c r="I16" s="86" t="str">
        <f t="shared" si="2"/>
        <v/>
      </c>
    </row>
    <row r="17" spans="1:10" ht="16.5">
      <c r="A17" s="118" t="s">
        <v>917</v>
      </c>
      <c r="B17" s="119">
        <v>43382</v>
      </c>
      <c r="C17" s="86" t="str">
        <f t="shared" si="0"/>
        <v>(화)</v>
      </c>
      <c r="D17" s="84"/>
      <c r="E17" s="85"/>
      <c r="F17" s="86" t="str">
        <f t="shared" si="1"/>
        <v/>
      </c>
      <c r="G17" s="84"/>
      <c r="H17" s="85"/>
      <c r="I17" s="86" t="str">
        <f t="shared" si="2"/>
        <v/>
      </c>
    </row>
    <row r="18" spans="1:10" ht="16.5">
      <c r="A18" s="118" t="s">
        <v>918</v>
      </c>
      <c r="B18" s="119">
        <v>43459</v>
      </c>
      <c r="C18" s="86" t="str">
        <f t="shared" si="0"/>
        <v>(화)</v>
      </c>
      <c r="D18" s="84"/>
      <c r="E18" s="85"/>
      <c r="F18" s="86" t="str">
        <f t="shared" si="1"/>
        <v/>
      </c>
      <c r="G18" s="84"/>
      <c r="H18" s="85"/>
      <c r="I18" s="86" t="str">
        <f t="shared" si="2"/>
        <v/>
      </c>
    </row>
    <row r="19" spans="1:10" ht="16.5">
      <c r="A19" s="118" t="s">
        <v>1032</v>
      </c>
      <c r="B19" s="119">
        <v>43466</v>
      </c>
      <c r="C19" s="86" t="str">
        <f t="shared" si="0"/>
        <v>(화)</v>
      </c>
      <c r="D19" s="84"/>
      <c r="E19" s="85"/>
      <c r="F19" s="86" t="str">
        <f t="shared" si="1"/>
        <v/>
      </c>
      <c r="G19" s="84"/>
      <c r="H19" s="85"/>
      <c r="I19" s="86" t="str">
        <f t="shared" si="2"/>
        <v/>
      </c>
      <c r="J19" s="87"/>
    </row>
    <row r="20" spans="1:10" ht="16.5">
      <c r="A20" s="118" t="s">
        <v>1033</v>
      </c>
      <c r="B20" s="119">
        <v>43500</v>
      </c>
      <c r="C20" s="86" t="str">
        <f t="shared" si="0"/>
        <v>(월)</v>
      </c>
      <c r="D20" s="84"/>
      <c r="E20" s="85"/>
      <c r="F20" s="86" t="str">
        <f t="shared" si="1"/>
        <v/>
      </c>
      <c r="G20" s="84"/>
      <c r="H20" s="85"/>
      <c r="I20" s="86" t="str">
        <f t="shared" si="2"/>
        <v/>
      </c>
      <c r="J20" s="87"/>
    </row>
    <row r="21" spans="1:10" ht="16.5">
      <c r="A21" s="118" t="s">
        <v>1034</v>
      </c>
      <c r="B21" s="119">
        <v>43501</v>
      </c>
      <c r="C21" s="86" t="str">
        <f t="shared" si="0"/>
        <v>(화)</v>
      </c>
      <c r="D21" s="84"/>
      <c r="E21" s="85"/>
      <c r="F21" s="86" t="str">
        <f t="shared" si="1"/>
        <v/>
      </c>
      <c r="G21" s="84"/>
      <c r="H21" s="85"/>
      <c r="I21" s="86" t="str">
        <f t="shared" si="2"/>
        <v/>
      </c>
    </row>
    <row r="22" spans="1:10" ht="16.5">
      <c r="A22" s="118" t="s">
        <v>1033</v>
      </c>
      <c r="B22" s="119">
        <v>43502</v>
      </c>
      <c r="C22" s="86" t="str">
        <f t="shared" si="0"/>
        <v>(수)</v>
      </c>
      <c r="D22" s="84"/>
      <c r="E22" s="85"/>
      <c r="F22" s="86" t="str">
        <f t="shared" si="1"/>
        <v/>
      </c>
      <c r="G22" s="84"/>
      <c r="H22" s="85"/>
      <c r="I22" s="86" t="str">
        <f t="shared" si="2"/>
        <v/>
      </c>
    </row>
    <row r="23" spans="1:10" ht="16.5">
      <c r="A23" s="118" t="s">
        <v>1035</v>
      </c>
      <c r="B23" s="119">
        <v>43525</v>
      </c>
      <c r="C23" s="86" t="str">
        <f t="shared" si="0"/>
        <v>(금)</v>
      </c>
      <c r="D23" s="84"/>
      <c r="E23" s="85"/>
      <c r="F23" s="86" t="str">
        <f t="shared" si="1"/>
        <v/>
      </c>
      <c r="G23" s="84"/>
      <c r="H23" s="85"/>
      <c r="I23" s="86" t="str">
        <f t="shared" si="2"/>
        <v/>
      </c>
    </row>
    <row r="24" spans="1:10" ht="16.5">
      <c r="A24" s="118" t="s">
        <v>1036</v>
      </c>
      <c r="B24" s="119">
        <v>43591</v>
      </c>
      <c r="C24" s="86" t="str">
        <f t="shared" si="0"/>
        <v>(월)</v>
      </c>
      <c r="D24" s="84"/>
      <c r="E24" s="85"/>
      <c r="F24" s="86" t="str">
        <f t="shared" si="1"/>
        <v/>
      </c>
      <c r="G24" s="84"/>
      <c r="H24" s="85"/>
      <c r="I24" s="86" t="str">
        <f t="shared" si="2"/>
        <v/>
      </c>
    </row>
    <row r="25" spans="1:10" ht="16.5">
      <c r="A25" s="118" t="s">
        <v>1037</v>
      </c>
      <c r="B25" s="119">
        <v>43622</v>
      </c>
      <c r="C25" s="86" t="str">
        <f t="shared" si="0"/>
        <v>(목)</v>
      </c>
      <c r="D25" s="84"/>
      <c r="E25" s="85"/>
      <c r="F25" s="86" t="str">
        <f t="shared" si="1"/>
        <v/>
      </c>
      <c r="G25" s="84"/>
      <c r="H25" s="85"/>
      <c r="I25" s="86" t="str">
        <f t="shared" si="2"/>
        <v/>
      </c>
    </row>
    <row r="26" spans="1:10" ht="16.5">
      <c r="A26" s="118" t="s">
        <v>1038</v>
      </c>
      <c r="B26" s="119">
        <v>43692</v>
      </c>
      <c r="C26" s="86" t="str">
        <f t="shared" si="0"/>
        <v>(목)</v>
      </c>
      <c r="D26" s="84"/>
      <c r="E26" s="85"/>
      <c r="F26" s="86" t="str">
        <f t="shared" si="1"/>
        <v/>
      </c>
      <c r="G26" s="84"/>
      <c r="H26" s="85"/>
      <c r="I26" s="86" t="str">
        <f t="shared" si="2"/>
        <v/>
      </c>
    </row>
    <row r="27" spans="1:10" ht="16.5">
      <c r="A27" s="118" t="s">
        <v>1039</v>
      </c>
      <c r="B27" s="119">
        <v>43720</v>
      </c>
      <c r="C27" s="86" t="str">
        <f t="shared" si="0"/>
        <v>(목)</v>
      </c>
      <c r="D27" s="84"/>
      <c r="E27" s="85"/>
      <c r="F27" s="86" t="str">
        <f t="shared" si="1"/>
        <v/>
      </c>
      <c r="G27" s="84"/>
      <c r="H27" s="85"/>
      <c r="I27" s="86" t="str">
        <f t="shared" si="2"/>
        <v/>
      </c>
    </row>
    <row r="28" spans="1:10" ht="16.5">
      <c r="A28" s="118" t="s">
        <v>1040</v>
      </c>
      <c r="B28" s="119">
        <v>43721</v>
      </c>
      <c r="C28" s="86" t="str">
        <f t="shared" si="0"/>
        <v>(금)</v>
      </c>
      <c r="D28" s="84"/>
      <c r="E28" s="85"/>
      <c r="F28" s="86" t="str">
        <f t="shared" si="1"/>
        <v/>
      </c>
      <c r="G28" s="84"/>
      <c r="H28" s="85"/>
      <c r="I28" s="86" t="str">
        <f t="shared" si="2"/>
        <v/>
      </c>
    </row>
    <row r="29" spans="1:10" ht="16.5">
      <c r="A29" s="118" t="s">
        <v>1041</v>
      </c>
      <c r="B29" s="119">
        <v>43741</v>
      </c>
      <c r="C29" s="86" t="str">
        <f t="shared" si="0"/>
        <v>(목)</v>
      </c>
      <c r="D29" s="84"/>
      <c r="E29" s="85"/>
      <c r="F29" s="86" t="str">
        <f t="shared" si="1"/>
        <v/>
      </c>
      <c r="G29" s="84"/>
      <c r="H29" s="85"/>
      <c r="I29" s="86" t="str">
        <f t="shared" si="2"/>
        <v/>
      </c>
    </row>
    <row r="30" spans="1:10" ht="16.5">
      <c r="A30" s="118" t="s">
        <v>1042</v>
      </c>
      <c r="B30" s="119">
        <v>43747</v>
      </c>
      <c r="C30" s="86" t="str">
        <f t="shared" si="0"/>
        <v>(수)</v>
      </c>
      <c r="D30" s="84"/>
      <c r="E30" s="85"/>
      <c r="F30" s="86" t="str">
        <f t="shared" si="1"/>
        <v/>
      </c>
      <c r="G30" s="84"/>
      <c r="H30" s="85"/>
      <c r="I30" s="86" t="str">
        <f t="shared" si="2"/>
        <v/>
      </c>
    </row>
    <row r="31" spans="1:10" ht="16.5">
      <c r="A31" s="118" t="s">
        <v>1043</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1087</v>
      </c>
      <c r="D305" s="86" t="s">
        <v>1087</v>
      </c>
      <c r="G305" s="86" t="s">
        <v>1087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5CLASS-184</cp:lastModifiedBy>
  <dcterms:created xsi:type="dcterms:W3CDTF">2018-02-18T09:45:14Z</dcterms:created>
  <dcterms:modified xsi:type="dcterms:W3CDTF">2019-10-25T06:17:13Z</dcterms:modified>
</cp:coreProperties>
</file>